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imezeoke/Downloads/"/>
    </mc:Choice>
  </mc:AlternateContent>
  <xr:revisionPtr revIDLastSave="0" documentId="8_{656C3BD0-CE86-F543-8494-3240FB1E5BD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 School Library Impact Dashboar" sheetId="1" r:id="rId1"/>
    <sheet name="Adams" sheetId="2" r:id="rId2"/>
    <sheet name="Cleveland" sheetId="3" r:id="rId3"/>
    <sheet name="Eisenhower" sheetId="4" r:id="rId4"/>
    <sheet name="Jackson" sheetId="5" r:id="rId5"/>
    <sheet name="Jefferson" sheetId="6" r:id="rId6"/>
    <sheet name="Kennedy" sheetId="7" r:id="rId7"/>
    <sheet name="Lakeview" sheetId="8" r:id="rId8"/>
    <sheet name="Lincoln" sheetId="9" r:id="rId9"/>
    <sheet name="Madison" sheetId="10" r:id="rId10"/>
    <sheet name="McKinley" sheetId="11" r:id="rId11"/>
    <sheet name="Monroe" sheetId="12" r:id="rId12"/>
    <sheet name="Reagan" sheetId="13" r:id="rId13"/>
    <sheet name="Roosevelt" sheetId="14" r:id="rId14"/>
    <sheet name="Truman" sheetId="15" r:id="rId15"/>
    <sheet name="Truman Primary" sheetId="16" r:id="rId16"/>
    <sheet name="Washington" sheetId="17" r:id="rId17"/>
    <sheet name="Wilson" sheetId="18" r:id="rId18"/>
    <sheet name="Alcott" sheetId="19" r:id="rId19"/>
    <sheet name="Irving" sheetId="20" r:id="rId20"/>
    <sheet name="Longfellow" sheetId="21" r:id="rId21"/>
    <sheet name="Whittier" sheetId="22" r:id="rId22"/>
    <sheet name="High" sheetId="23" r:id="rId23"/>
    <sheet name="North" sheetId="24" r:id="rId24"/>
    <sheet name="Dimens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5" l="1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T6" i="25"/>
  <c r="N6" i="25"/>
  <c r="C6" i="25"/>
  <c r="B6" i="25"/>
  <c r="A6" i="25"/>
  <c r="T5" i="25"/>
  <c r="N5" i="25"/>
  <c r="C5" i="25"/>
  <c r="B5" i="25"/>
  <c r="A5" i="25"/>
  <c r="T4" i="25"/>
  <c r="N4" i="25"/>
  <c r="C4" i="25"/>
  <c r="B4" i="25"/>
  <c r="A4" i="25"/>
  <c r="T3" i="25"/>
  <c r="S3" i="25"/>
  <c r="N3" i="25"/>
  <c r="M3" i="25"/>
  <c r="K3" i="25"/>
  <c r="J3" i="25"/>
  <c r="D3" i="25"/>
  <c r="C3" i="25"/>
  <c r="B3" i="25"/>
  <c r="A3" i="25"/>
  <c r="T2" i="25"/>
  <c r="S2" i="25"/>
  <c r="O2" i="25"/>
  <c r="N2" i="25"/>
  <c r="M2" i="25"/>
  <c r="K2" i="25"/>
  <c r="J2" i="25"/>
  <c r="D2" i="25"/>
  <c r="C2" i="25"/>
  <c r="B2" i="25"/>
  <c r="A2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C177" i="24"/>
  <c r="B177" i="24"/>
  <c r="A177" i="24"/>
  <c r="T176" i="24"/>
  <c r="K176" i="24"/>
  <c r="J176" i="24"/>
  <c r="I176" i="24"/>
  <c r="D176" i="24"/>
  <c r="B176" i="24"/>
  <c r="A176" i="24"/>
  <c r="T175" i="24"/>
  <c r="K175" i="24"/>
  <c r="J175" i="24"/>
  <c r="I175" i="24"/>
  <c r="B175" i="24"/>
  <c r="A175" i="24"/>
  <c r="T174" i="24"/>
  <c r="K174" i="24"/>
  <c r="J174" i="24"/>
  <c r="I174" i="24"/>
  <c r="D174" i="24"/>
  <c r="B174" i="24"/>
  <c r="A174" i="24"/>
  <c r="T173" i="24"/>
  <c r="K173" i="24"/>
  <c r="J173" i="24"/>
  <c r="I173" i="24"/>
  <c r="D173" i="24"/>
  <c r="B173" i="24"/>
  <c r="A173" i="24"/>
  <c r="T172" i="24"/>
  <c r="K172" i="24"/>
  <c r="J172" i="24"/>
  <c r="I172" i="24"/>
  <c r="D172" i="24"/>
  <c r="B172" i="24"/>
  <c r="A172" i="24"/>
  <c r="T171" i="24"/>
  <c r="K171" i="24"/>
  <c r="J171" i="24"/>
  <c r="I171" i="24"/>
  <c r="D171" i="24"/>
  <c r="B171" i="24"/>
  <c r="A171" i="24"/>
  <c r="T170" i="24"/>
  <c r="K170" i="24"/>
  <c r="J170" i="24"/>
  <c r="I170" i="24"/>
  <c r="D170" i="24"/>
  <c r="B170" i="24"/>
  <c r="A170" i="24"/>
  <c r="T169" i="24"/>
  <c r="P169" i="24"/>
  <c r="K169" i="24"/>
  <c r="J169" i="24"/>
  <c r="I169" i="24"/>
  <c r="D169" i="24"/>
  <c r="B169" i="24"/>
  <c r="A169" i="24"/>
  <c r="T168" i="24"/>
  <c r="P168" i="24"/>
  <c r="K168" i="24"/>
  <c r="J168" i="24"/>
  <c r="I168" i="24"/>
  <c r="D168" i="24"/>
  <c r="B168" i="24"/>
  <c r="A168" i="24"/>
  <c r="T167" i="24"/>
  <c r="R167" i="24"/>
  <c r="Q167" i="24"/>
  <c r="P167" i="24"/>
  <c r="M167" i="24"/>
  <c r="K167" i="24"/>
  <c r="J167" i="24"/>
  <c r="I167" i="24"/>
  <c r="G167" i="24"/>
  <c r="D167" i="24"/>
  <c r="B167" i="24"/>
  <c r="A167" i="24"/>
  <c r="T166" i="24"/>
  <c r="K166" i="24"/>
  <c r="I166" i="24"/>
  <c r="D166" i="24"/>
  <c r="B166" i="24"/>
  <c r="A166" i="24"/>
  <c r="T165" i="24"/>
  <c r="O165" i="24"/>
  <c r="N165" i="24"/>
  <c r="C165" i="24"/>
  <c r="B165" i="24"/>
  <c r="A165" i="24"/>
  <c r="T164" i="24"/>
  <c r="K164" i="24"/>
  <c r="J164" i="24"/>
  <c r="I164" i="24"/>
  <c r="D164" i="24"/>
  <c r="B164" i="24"/>
  <c r="A164" i="24"/>
  <c r="T163" i="24"/>
  <c r="K163" i="24"/>
  <c r="J163" i="24"/>
  <c r="I163" i="24"/>
  <c r="D163" i="24"/>
  <c r="B163" i="24"/>
  <c r="A163" i="24"/>
  <c r="T162" i="24"/>
  <c r="K162" i="24"/>
  <c r="J162" i="24"/>
  <c r="I162" i="24"/>
  <c r="D162" i="24"/>
  <c r="B162" i="24"/>
  <c r="A162" i="24"/>
  <c r="T161" i="24"/>
  <c r="K161" i="24"/>
  <c r="J161" i="24"/>
  <c r="I161" i="24"/>
  <c r="D161" i="24"/>
  <c r="B161" i="24"/>
  <c r="A161" i="24"/>
  <c r="T160" i="24"/>
  <c r="K160" i="24"/>
  <c r="J160" i="24"/>
  <c r="I160" i="24"/>
  <c r="D160" i="24"/>
  <c r="B160" i="24"/>
  <c r="A160" i="24"/>
  <c r="T159" i="24"/>
  <c r="K159" i="24"/>
  <c r="J159" i="24"/>
  <c r="I159" i="24"/>
  <c r="D159" i="24"/>
  <c r="B159" i="24"/>
  <c r="A159" i="24"/>
  <c r="T158" i="24"/>
  <c r="K158" i="24"/>
  <c r="J158" i="24"/>
  <c r="I158" i="24"/>
  <c r="D158" i="24"/>
  <c r="B158" i="24"/>
  <c r="A158" i="24"/>
  <c r="T157" i="24"/>
  <c r="K157" i="24"/>
  <c r="J157" i="24"/>
  <c r="I157" i="24"/>
  <c r="D157" i="24"/>
  <c r="B157" i="24"/>
  <c r="A157" i="24"/>
  <c r="T156" i="24"/>
  <c r="K156" i="24"/>
  <c r="J156" i="24"/>
  <c r="I156" i="24"/>
  <c r="D156" i="24"/>
  <c r="B156" i="24"/>
  <c r="A156" i="24"/>
  <c r="T155" i="24"/>
  <c r="K155" i="24"/>
  <c r="J155" i="24"/>
  <c r="I155" i="24"/>
  <c r="D155" i="24"/>
  <c r="B155" i="24"/>
  <c r="A155" i="24"/>
  <c r="T154" i="24"/>
  <c r="K154" i="24"/>
  <c r="J154" i="24"/>
  <c r="I154" i="24"/>
  <c r="D154" i="24"/>
  <c r="B154" i="24"/>
  <c r="A154" i="24"/>
  <c r="T153" i="24"/>
  <c r="K153" i="24"/>
  <c r="J153" i="24"/>
  <c r="I153" i="24"/>
  <c r="D153" i="24"/>
  <c r="B153" i="24"/>
  <c r="A153" i="24"/>
  <c r="T152" i="24"/>
  <c r="K152" i="24"/>
  <c r="J152" i="24"/>
  <c r="I152" i="24"/>
  <c r="D152" i="24"/>
  <c r="B152" i="24"/>
  <c r="A152" i="24"/>
  <c r="T151" i="24"/>
  <c r="K151" i="24"/>
  <c r="J151" i="24"/>
  <c r="I151" i="24"/>
  <c r="D151" i="24"/>
  <c r="B151" i="24"/>
  <c r="A151" i="24"/>
  <c r="T150" i="24"/>
  <c r="K150" i="24"/>
  <c r="J150" i="24"/>
  <c r="I150" i="24"/>
  <c r="D150" i="24"/>
  <c r="B150" i="24"/>
  <c r="A150" i="24"/>
  <c r="T149" i="24"/>
  <c r="K149" i="24"/>
  <c r="J149" i="24"/>
  <c r="I149" i="24"/>
  <c r="D149" i="24"/>
  <c r="B149" i="24"/>
  <c r="A149" i="24"/>
  <c r="T148" i="24"/>
  <c r="K148" i="24"/>
  <c r="J148" i="24"/>
  <c r="I148" i="24"/>
  <c r="D148" i="24"/>
  <c r="B148" i="24"/>
  <c r="A148" i="24"/>
  <c r="T147" i="24"/>
  <c r="R147" i="24"/>
  <c r="Q147" i="24"/>
  <c r="P147" i="24"/>
  <c r="M147" i="24"/>
  <c r="K147" i="24"/>
  <c r="J147" i="24"/>
  <c r="I147" i="24"/>
  <c r="G147" i="24"/>
  <c r="D147" i="24"/>
  <c r="B147" i="24"/>
  <c r="A147" i="24"/>
  <c r="T146" i="24"/>
  <c r="K146" i="24"/>
  <c r="J146" i="24"/>
  <c r="I146" i="24"/>
  <c r="D146" i="24"/>
  <c r="B146" i="24"/>
  <c r="A146" i="24"/>
  <c r="T145" i="24"/>
  <c r="K145" i="24"/>
  <c r="J145" i="24"/>
  <c r="I145" i="24"/>
  <c r="D145" i="24"/>
  <c r="B145" i="24"/>
  <c r="A145" i="24"/>
  <c r="T144" i="24"/>
  <c r="K144" i="24"/>
  <c r="J144" i="24"/>
  <c r="I144" i="24"/>
  <c r="D144" i="24"/>
  <c r="B144" i="24"/>
  <c r="A144" i="24"/>
  <c r="T143" i="24"/>
  <c r="K143" i="24"/>
  <c r="J143" i="24"/>
  <c r="I143" i="24"/>
  <c r="D143" i="24"/>
  <c r="B143" i="24"/>
  <c r="A143" i="24"/>
  <c r="T142" i="24"/>
  <c r="K142" i="24"/>
  <c r="J142" i="24"/>
  <c r="I142" i="24"/>
  <c r="D142" i="24"/>
  <c r="B142" i="24"/>
  <c r="A142" i="24"/>
  <c r="T141" i="24"/>
  <c r="Q141" i="24"/>
  <c r="M141" i="24"/>
  <c r="K141" i="24"/>
  <c r="J141" i="24"/>
  <c r="I141" i="24"/>
  <c r="G141" i="24"/>
  <c r="D141" i="24"/>
  <c r="B141" i="24"/>
  <c r="A141" i="24"/>
  <c r="T140" i="24"/>
  <c r="K140" i="24"/>
  <c r="J140" i="24"/>
  <c r="I140" i="24"/>
  <c r="D140" i="24"/>
  <c r="B140" i="24"/>
  <c r="A140" i="24"/>
  <c r="T139" i="24"/>
  <c r="K139" i="24"/>
  <c r="J139" i="24"/>
  <c r="I139" i="24"/>
  <c r="D139" i="24"/>
  <c r="B139" i="24"/>
  <c r="A139" i="24"/>
  <c r="T138" i="24"/>
  <c r="K138" i="24"/>
  <c r="J138" i="24"/>
  <c r="I138" i="24"/>
  <c r="D138" i="24"/>
  <c r="B138" i="24"/>
  <c r="A138" i="24"/>
  <c r="T137" i="24"/>
  <c r="Q137" i="24"/>
  <c r="K137" i="24"/>
  <c r="J137" i="24"/>
  <c r="I137" i="24"/>
  <c r="D137" i="24"/>
  <c r="B137" i="24"/>
  <c r="A137" i="24"/>
  <c r="T136" i="24"/>
  <c r="Q136" i="24"/>
  <c r="M136" i="24"/>
  <c r="K136" i="24"/>
  <c r="J136" i="24"/>
  <c r="I136" i="24"/>
  <c r="D136" i="24"/>
  <c r="B136" i="24"/>
  <c r="A136" i="24"/>
  <c r="T135" i="24"/>
  <c r="R135" i="24"/>
  <c r="Q135" i="24"/>
  <c r="P135" i="24"/>
  <c r="M135" i="24"/>
  <c r="K135" i="24"/>
  <c r="J135" i="24"/>
  <c r="I135" i="24"/>
  <c r="G135" i="24"/>
  <c r="F135" i="24"/>
  <c r="D135" i="24"/>
  <c r="B135" i="24"/>
  <c r="A135" i="24"/>
  <c r="T134" i="24"/>
  <c r="K134" i="24"/>
  <c r="J134" i="24"/>
  <c r="I134" i="24"/>
  <c r="D134" i="24"/>
  <c r="B134" i="24"/>
  <c r="A134" i="24"/>
  <c r="T133" i="24"/>
  <c r="K133" i="24"/>
  <c r="J133" i="24"/>
  <c r="I133" i="24"/>
  <c r="D133" i="24"/>
  <c r="B133" i="24"/>
  <c r="A133" i="24"/>
  <c r="T132" i="24"/>
  <c r="K132" i="24"/>
  <c r="J132" i="24"/>
  <c r="I132" i="24"/>
  <c r="D132" i="24"/>
  <c r="B132" i="24"/>
  <c r="A132" i="24"/>
  <c r="T131" i="24"/>
  <c r="K131" i="24"/>
  <c r="J131" i="24"/>
  <c r="I131" i="24"/>
  <c r="D131" i="24"/>
  <c r="B131" i="24"/>
  <c r="A131" i="24"/>
  <c r="T130" i="24"/>
  <c r="K130" i="24"/>
  <c r="J130" i="24"/>
  <c r="I130" i="24"/>
  <c r="D130" i="24"/>
  <c r="B130" i="24"/>
  <c r="A130" i="24"/>
  <c r="T129" i="24"/>
  <c r="K129" i="24"/>
  <c r="J129" i="24"/>
  <c r="I129" i="24"/>
  <c r="D129" i="24"/>
  <c r="B129" i="24"/>
  <c r="A129" i="24"/>
  <c r="T128" i="24"/>
  <c r="K128" i="24"/>
  <c r="J128" i="24"/>
  <c r="I128" i="24"/>
  <c r="D128" i="24"/>
  <c r="B128" i="24"/>
  <c r="A128" i="24"/>
  <c r="T127" i="24"/>
  <c r="K127" i="24"/>
  <c r="J127" i="24"/>
  <c r="I127" i="24"/>
  <c r="D127" i="24"/>
  <c r="B127" i="24"/>
  <c r="A127" i="24"/>
  <c r="T126" i="24"/>
  <c r="K126" i="24"/>
  <c r="J126" i="24"/>
  <c r="I126" i="24"/>
  <c r="D126" i="24"/>
  <c r="B126" i="24"/>
  <c r="A126" i="24"/>
  <c r="T125" i="24"/>
  <c r="K125" i="24"/>
  <c r="J125" i="24"/>
  <c r="I125" i="24"/>
  <c r="D125" i="24"/>
  <c r="B125" i="24"/>
  <c r="A125" i="24"/>
  <c r="T124" i="24"/>
  <c r="K124" i="24"/>
  <c r="J124" i="24"/>
  <c r="I124" i="24"/>
  <c r="D124" i="24"/>
  <c r="B124" i="24"/>
  <c r="A124" i="24"/>
  <c r="T123" i="24"/>
  <c r="K123" i="24"/>
  <c r="J123" i="24"/>
  <c r="I123" i="24"/>
  <c r="D123" i="24"/>
  <c r="B123" i="24"/>
  <c r="A123" i="24"/>
  <c r="T122" i="24"/>
  <c r="K122" i="24"/>
  <c r="J122" i="24"/>
  <c r="I122" i="24"/>
  <c r="D122" i="24"/>
  <c r="B122" i="24"/>
  <c r="A122" i="24"/>
  <c r="T121" i="24"/>
  <c r="Q121" i="24"/>
  <c r="B121" i="24"/>
  <c r="A121" i="24"/>
  <c r="T120" i="24"/>
  <c r="Q120" i="24"/>
  <c r="B120" i="24"/>
  <c r="A120" i="24"/>
  <c r="T119" i="24"/>
  <c r="R119" i="24"/>
  <c r="Q119" i="24"/>
  <c r="M119" i="24"/>
  <c r="K119" i="24"/>
  <c r="J119" i="24"/>
  <c r="I119" i="24"/>
  <c r="G119" i="24"/>
  <c r="D119" i="24"/>
  <c r="B119" i="24"/>
  <c r="A119" i="24"/>
  <c r="T118" i="24"/>
  <c r="N118" i="24"/>
  <c r="C118" i="24"/>
  <c r="B118" i="24"/>
  <c r="A118" i="24"/>
  <c r="T117" i="24"/>
  <c r="K117" i="24"/>
  <c r="J117" i="24"/>
  <c r="I117" i="24"/>
  <c r="D117" i="24"/>
  <c r="B117" i="24"/>
  <c r="A117" i="24"/>
  <c r="T116" i="24"/>
  <c r="K116" i="24"/>
  <c r="J116" i="24"/>
  <c r="I116" i="24"/>
  <c r="D116" i="24"/>
  <c r="B116" i="24"/>
  <c r="A116" i="24"/>
  <c r="T115" i="24"/>
  <c r="K115" i="24"/>
  <c r="J115" i="24"/>
  <c r="I115" i="24"/>
  <c r="D115" i="24"/>
  <c r="B115" i="24"/>
  <c r="A115" i="24"/>
  <c r="T114" i="24"/>
  <c r="K114" i="24"/>
  <c r="J114" i="24"/>
  <c r="I114" i="24"/>
  <c r="D114" i="24"/>
  <c r="B114" i="24"/>
  <c r="A114" i="24"/>
  <c r="T113" i="24"/>
  <c r="K113" i="24"/>
  <c r="J113" i="24"/>
  <c r="I113" i="24"/>
  <c r="D113" i="24"/>
  <c r="B113" i="24"/>
  <c r="A113" i="24"/>
  <c r="T112" i="24"/>
  <c r="K112" i="24"/>
  <c r="J112" i="24"/>
  <c r="I112" i="24"/>
  <c r="D112" i="24"/>
  <c r="B112" i="24"/>
  <c r="A112" i="24"/>
  <c r="T111" i="24"/>
  <c r="K111" i="24"/>
  <c r="J111" i="24"/>
  <c r="I111" i="24"/>
  <c r="D111" i="24"/>
  <c r="B111" i="24"/>
  <c r="A111" i="24"/>
  <c r="T110" i="24"/>
  <c r="K110" i="24"/>
  <c r="J110" i="24"/>
  <c r="I110" i="24"/>
  <c r="D110" i="24"/>
  <c r="B110" i="24"/>
  <c r="A110" i="24"/>
  <c r="T109" i="24"/>
  <c r="K109" i="24"/>
  <c r="J109" i="24"/>
  <c r="I109" i="24"/>
  <c r="D109" i="24"/>
  <c r="B109" i="24"/>
  <c r="A109" i="24"/>
  <c r="T108" i="24"/>
  <c r="Q108" i="24"/>
  <c r="B108" i="24"/>
  <c r="A108" i="24"/>
  <c r="T107" i="24"/>
  <c r="Q107" i="24"/>
  <c r="K107" i="24"/>
  <c r="J107" i="24"/>
  <c r="I107" i="24"/>
  <c r="D107" i="24"/>
  <c r="B107" i="24"/>
  <c r="A107" i="24"/>
  <c r="T106" i="24"/>
  <c r="R106" i="24"/>
  <c r="Q106" i="24"/>
  <c r="P106" i="24"/>
  <c r="M106" i="24"/>
  <c r="K106" i="24"/>
  <c r="J106" i="24"/>
  <c r="I106" i="24"/>
  <c r="G106" i="24"/>
  <c r="D106" i="24"/>
  <c r="B106" i="24"/>
  <c r="A106" i="24"/>
  <c r="T105" i="24"/>
  <c r="C105" i="24"/>
  <c r="B105" i="24"/>
  <c r="A105" i="24"/>
  <c r="T104" i="24"/>
  <c r="N104" i="24"/>
  <c r="C104" i="24"/>
  <c r="B104" i="24"/>
  <c r="A104" i="24"/>
  <c r="T103" i="24"/>
  <c r="M103" i="24"/>
  <c r="B103" i="24"/>
  <c r="A103" i="24"/>
  <c r="T102" i="24"/>
  <c r="M102" i="24"/>
  <c r="B102" i="24"/>
  <c r="A102" i="24"/>
  <c r="T101" i="24"/>
  <c r="N101" i="24"/>
  <c r="C101" i="24"/>
  <c r="B101" i="24"/>
  <c r="A101" i="24"/>
  <c r="T100" i="24"/>
  <c r="K100" i="24"/>
  <c r="J100" i="24"/>
  <c r="I100" i="24"/>
  <c r="D100" i="24"/>
  <c r="B100" i="24"/>
  <c r="A100" i="24"/>
  <c r="T99" i="24"/>
  <c r="M99" i="24"/>
  <c r="B99" i="24"/>
  <c r="A99" i="24"/>
  <c r="T98" i="24"/>
  <c r="K98" i="24"/>
  <c r="J98" i="24"/>
  <c r="I98" i="24"/>
  <c r="D98" i="24"/>
  <c r="B98" i="24"/>
  <c r="A98" i="24"/>
  <c r="T97" i="24"/>
  <c r="K97" i="24"/>
  <c r="J97" i="24"/>
  <c r="I97" i="24"/>
  <c r="D97" i="24"/>
  <c r="B97" i="24"/>
  <c r="A97" i="24"/>
  <c r="T96" i="24"/>
  <c r="K96" i="24"/>
  <c r="J96" i="24"/>
  <c r="I96" i="24"/>
  <c r="D96" i="24"/>
  <c r="B96" i="24"/>
  <c r="A96" i="24"/>
  <c r="T95" i="24"/>
  <c r="K95" i="24"/>
  <c r="J95" i="24"/>
  <c r="I95" i="24"/>
  <c r="D95" i="24"/>
  <c r="B95" i="24"/>
  <c r="A95" i="24"/>
  <c r="T94" i="24"/>
  <c r="K94" i="24"/>
  <c r="J94" i="24"/>
  <c r="I94" i="24"/>
  <c r="D94" i="24"/>
  <c r="B94" i="24"/>
  <c r="A94" i="24"/>
  <c r="T93" i="24"/>
  <c r="K93" i="24"/>
  <c r="J93" i="24"/>
  <c r="I93" i="24"/>
  <c r="D93" i="24"/>
  <c r="B93" i="24"/>
  <c r="A93" i="24"/>
  <c r="T92" i="24"/>
  <c r="K92" i="24"/>
  <c r="J92" i="24"/>
  <c r="I92" i="24"/>
  <c r="D92" i="24"/>
  <c r="B92" i="24"/>
  <c r="A92" i="24"/>
  <c r="T91" i="24"/>
  <c r="K91" i="24"/>
  <c r="J91" i="24"/>
  <c r="I91" i="24"/>
  <c r="D91" i="24"/>
  <c r="B91" i="24"/>
  <c r="A91" i="24"/>
  <c r="T90" i="24"/>
  <c r="K90" i="24"/>
  <c r="J90" i="24"/>
  <c r="I90" i="24"/>
  <c r="D90" i="24"/>
  <c r="B90" i="24"/>
  <c r="A90" i="24"/>
  <c r="T89" i="24"/>
  <c r="Q89" i="24"/>
  <c r="K89" i="24"/>
  <c r="J89" i="24"/>
  <c r="I89" i="24"/>
  <c r="D89" i="24"/>
  <c r="B89" i="24"/>
  <c r="A89" i="24"/>
  <c r="T88" i="24"/>
  <c r="Q88" i="24"/>
  <c r="K88" i="24"/>
  <c r="J88" i="24"/>
  <c r="I88" i="24"/>
  <c r="D88" i="24"/>
  <c r="B88" i="24"/>
  <c r="A88" i="24"/>
  <c r="T87" i="24"/>
  <c r="Q87" i="24"/>
  <c r="P87" i="24"/>
  <c r="K87" i="24"/>
  <c r="I87" i="24"/>
  <c r="G87" i="24"/>
  <c r="D87" i="24"/>
  <c r="B87" i="24"/>
  <c r="A87" i="24"/>
  <c r="T86" i="24"/>
  <c r="K86" i="24"/>
  <c r="J86" i="24"/>
  <c r="I86" i="24"/>
  <c r="D86" i="24"/>
  <c r="B86" i="24"/>
  <c r="A86" i="24"/>
  <c r="T85" i="24"/>
  <c r="K85" i="24"/>
  <c r="J85" i="24"/>
  <c r="I85" i="24"/>
  <c r="D85" i="24"/>
  <c r="B85" i="24"/>
  <c r="A85" i="24"/>
  <c r="T84" i="24"/>
  <c r="K84" i="24"/>
  <c r="J84" i="24"/>
  <c r="I84" i="24"/>
  <c r="D84" i="24"/>
  <c r="B84" i="24"/>
  <c r="A84" i="24"/>
  <c r="T83" i="24"/>
  <c r="K83" i="24"/>
  <c r="J83" i="24"/>
  <c r="I83" i="24"/>
  <c r="D83" i="24"/>
  <c r="B83" i="24"/>
  <c r="A83" i="24"/>
  <c r="T82" i="24"/>
  <c r="K82" i="24"/>
  <c r="J82" i="24"/>
  <c r="I82" i="24"/>
  <c r="D82" i="24"/>
  <c r="B82" i="24"/>
  <c r="A82" i="24"/>
  <c r="T81" i="24"/>
  <c r="K81" i="24"/>
  <c r="J81" i="24"/>
  <c r="I81" i="24"/>
  <c r="D81" i="24"/>
  <c r="B81" i="24"/>
  <c r="A81" i="24"/>
  <c r="T80" i="24"/>
  <c r="K80" i="24"/>
  <c r="J80" i="24"/>
  <c r="I80" i="24"/>
  <c r="D80" i="24"/>
  <c r="B80" i="24"/>
  <c r="A80" i="24"/>
  <c r="T79" i="24"/>
  <c r="K79" i="24"/>
  <c r="J79" i="24"/>
  <c r="I79" i="24"/>
  <c r="D79" i="24"/>
  <c r="B79" i="24"/>
  <c r="A79" i="24"/>
  <c r="T78" i="24"/>
  <c r="K78" i="24"/>
  <c r="J78" i="24"/>
  <c r="I78" i="24"/>
  <c r="D78" i="24"/>
  <c r="B78" i="24"/>
  <c r="A78" i="24"/>
  <c r="T77" i="24"/>
  <c r="K77" i="24"/>
  <c r="J77" i="24"/>
  <c r="I77" i="24"/>
  <c r="D77" i="24"/>
  <c r="B77" i="24"/>
  <c r="A77" i="24"/>
  <c r="T76" i="24"/>
  <c r="K76" i="24"/>
  <c r="J76" i="24"/>
  <c r="I76" i="24"/>
  <c r="D76" i="24"/>
  <c r="B76" i="24"/>
  <c r="A76" i="24"/>
  <c r="T75" i="24"/>
  <c r="Q75" i="24"/>
  <c r="K75" i="24"/>
  <c r="J75" i="24"/>
  <c r="I75" i="24"/>
  <c r="D75" i="24"/>
  <c r="B75" i="24"/>
  <c r="A75" i="24"/>
  <c r="T74" i="24"/>
  <c r="Q74" i="24"/>
  <c r="K74" i="24"/>
  <c r="J74" i="24"/>
  <c r="I74" i="24"/>
  <c r="D74" i="24"/>
  <c r="B74" i="24"/>
  <c r="A74" i="24"/>
  <c r="T73" i="24"/>
  <c r="Q73" i="24"/>
  <c r="M73" i="24"/>
  <c r="K73" i="24"/>
  <c r="I73" i="24"/>
  <c r="G73" i="24"/>
  <c r="D73" i="24"/>
  <c r="B73" i="24"/>
  <c r="A73" i="24"/>
  <c r="T72" i="24"/>
  <c r="K72" i="24"/>
  <c r="J72" i="24"/>
  <c r="I72" i="24"/>
  <c r="D72" i="24"/>
  <c r="B72" i="24"/>
  <c r="A72" i="24"/>
  <c r="T71" i="24"/>
  <c r="Q71" i="24"/>
  <c r="M71" i="24"/>
  <c r="K71" i="24"/>
  <c r="J71" i="24"/>
  <c r="I71" i="24"/>
  <c r="G71" i="24"/>
  <c r="F71" i="24"/>
  <c r="D71" i="24"/>
  <c r="B71" i="24"/>
  <c r="A71" i="24"/>
  <c r="T70" i="24"/>
  <c r="K70" i="24"/>
  <c r="J70" i="24"/>
  <c r="I70" i="24"/>
  <c r="D70" i="24"/>
  <c r="B70" i="24"/>
  <c r="A70" i="24"/>
  <c r="T69" i="24"/>
  <c r="K69" i="24"/>
  <c r="J69" i="24"/>
  <c r="I69" i="24"/>
  <c r="D69" i="24"/>
  <c r="B69" i="24"/>
  <c r="A69" i="24"/>
  <c r="T68" i="24"/>
  <c r="K68" i="24"/>
  <c r="I68" i="24"/>
  <c r="D68" i="24"/>
  <c r="B68" i="24"/>
  <c r="A68" i="24"/>
  <c r="T67" i="24"/>
  <c r="K67" i="24"/>
  <c r="J67" i="24"/>
  <c r="I67" i="24"/>
  <c r="D67" i="24"/>
  <c r="B67" i="24"/>
  <c r="A67" i="24"/>
  <c r="T66" i="24"/>
  <c r="K66" i="24"/>
  <c r="J66" i="24"/>
  <c r="I66" i="24"/>
  <c r="D66" i="24"/>
  <c r="B66" i="24"/>
  <c r="A66" i="24"/>
  <c r="T65" i="24"/>
  <c r="R65" i="24"/>
  <c r="P65" i="24"/>
  <c r="K65" i="24"/>
  <c r="J65" i="24"/>
  <c r="I65" i="24"/>
  <c r="D65" i="24"/>
  <c r="B65" i="24"/>
  <c r="A65" i="24"/>
  <c r="T64" i="24"/>
  <c r="R64" i="24"/>
  <c r="P64" i="24"/>
  <c r="K64" i="24"/>
  <c r="J64" i="24"/>
  <c r="I64" i="24"/>
  <c r="D64" i="24"/>
  <c r="B64" i="24"/>
  <c r="A64" i="24"/>
  <c r="T63" i="24"/>
  <c r="K63" i="24"/>
  <c r="J63" i="24"/>
  <c r="I63" i="24"/>
  <c r="D63" i="24"/>
  <c r="B63" i="24"/>
  <c r="A63" i="24"/>
  <c r="T62" i="24"/>
  <c r="K62" i="24"/>
  <c r="J62" i="24"/>
  <c r="I62" i="24"/>
  <c r="D62" i="24"/>
  <c r="B62" i="24"/>
  <c r="A62" i="24"/>
  <c r="T61" i="24"/>
  <c r="K61" i="24"/>
  <c r="J61" i="24"/>
  <c r="I61" i="24"/>
  <c r="D61" i="24"/>
  <c r="B61" i="24"/>
  <c r="A61" i="24"/>
  <c r="T60" i="24"/>
  <c r="M60" i="24"/>
  <c r="K60" i="24"/>
  <c r="J60" i="24"/>
  <c r="I60" i="24"/>
  <c r="D60" i="24"/>
  <c r="B60" i="24"/>
  <c r="A60" i="24"/>
  <c r="T59" i="24"/>
  <c r="K59" i="24"/>
  <c r="J59" i="24"/>
  <c r="I59" i="24"/>
  <c r="D59" i="24"/>
  <c r="B59" i="24"/>
  <c r="A59" i="24"/>
  <c r="T58" i="24"/>
  <c r="K58" i="24"/>
  <c r="J58" i="24"/>
  <c r="I58" i="24"/>
  <c r="D58" i="24"/>
  <c r="B58" i="24"/>
  <c r="A58" i="24"/>
  <c r="T57" i="24"/>
  <c r="K57" i="24"/>
  <c r="J57" i="24"/>
  <c r="I57" i="24"/>
  <c r="D57" i="24"/>
  <c r="B57" i="24"/>
  <c r="A57" i="24"/>
  <c r="T56" i="24"/>
  <c r="K56" i="24"/>
  <c r="J56" i="24"/>
  <c r="I56" i="24"/>
  <c r="D56" i="24"/>
  <c r="B56" i="24"/>
  <c r="A56" i="24"/>
  <c r="T55" i="24"/>
  <c r="K55" i="24"/>
  <c r="J55" i="24"/>
  <c r="I55" i="24"/>
  <c r="D55" i="24"/>
  <c r="B55" i="24"/>
  <c r="A55" i="24"/>
  <c r="T54" i="24"/>
  <c r="K54" i="24"/>
  <c r="J54" i="24"/>
  <c r="I54" i="24"/>
  <c r="D54" i="24"/>
  <c r="B54" i="24"/>
  <c r="A54" i="24"/>
  <c r="T53" i="24"/>
  <c r="Q53" i="24"/>
  <c r="K53" i="24"/>
  <c r="J53" i="24"/>
  <c r="I53" i="24"/>
  <c r="D53" i="24"/>
  <c r="B53" i="24"/>
  <c r="A53" i="24"/>
  <c r="T52" i="24"/>
  <c r="Q52" i="24"/>
  <c r="K52" i="24"/>
  <c r="J52" i="24"/>
  <c r="I52" i="24"/>
  <c r="D52" i="24"/>
  <c r="B52" i="24"/>
  <c r="A52" i="24"/>
  <c r="T51" i="24"/>
  <c r="Q51" i="24"/>
  <c r="K51" i="24"/>
  <c r="I51" i="24"/>
  <c r="D51" i="24"/>
  <c r="B51" i="24"/>
  <c r="A51" i="24"/>
  <c r="T50" i="24"/>
  <c r="R50" i="24"/>
  <c r="Q50" i="24"/>
  <c r="P50" i="24"/>
  <c r="G50" i="24"/>
  <c r="F50" i="24"/>
  <c r="B50" i="24"/>
  <c r="A50" i="24"/>
  <c r="T49" i="24"/>
  <c r="O49" i="24"/>
  <c r="B49" i="24"/>
  <c r="A49" i="24"/>
  <c r="T48" i="24"/>
  <c r="K48" i="24"/>
  <c r="J48" i="24"/>
  <c r="I48" i="24"/>
  <c r="D48" i="24"/>
  <c r="B48" i="24"/>
  <c r="A48" i="24"/>
  <c r="T47" i="24"/>
  <c r="N47" i="24"/>
  <c r="C47" i="24"/>
  <c r="B47" i="24"/>
  <c r="A47" i="24"/>
  <c r="T46" i="24"/>
  <c r="R46" i="24"/>
  <c r="B46" i="24"/>
  <c r="A46" i="24"/>
  <c r="T45" i="24"/>
  <c r="R45" i="24"/>
  <c r="B45" i="24"/>
  <c r="A45" i="24"/>
  <c r="T44" i="24"/>
  <c r="R44" i="24"/>
  <c r="B44" i="24"/>
  <c r="A44" i="24"/>
  <c r="T43" i="24"/>
  <c r="R43" i="24"/>
  <c r="B43" i="24"/>
  <c r="A43" i="24"/>
  <c r="T42" i="24"/>
  <c r="R42" i="24"/>
  <c r="B42" i="24"/>
  <c r="A42" i="24"/>
  <c r="T41" i="24"/>
  <c r="R41" i="24"/>
  <c r="P41" i="24"/>
  <c r="K41" i="24"/>
  <c r="J41" i="24"/>
  <c r="I41" i="24"/>
  <c r="D41" i="24"/>
  <c r="B41" i="24"/>
  <c r="A41" i="24"/>
  <c r="T40" i="24"/>
  <c r="R40" i="24"/>
  <c r="P40" i="24"/>
  <c r="K40" i="24"/>
  <c r="J40" i="24"/>
  <c r="I40" i="24"/>
  <c r="D40" i="24"/>
  <c r="B40" i="24"/>
  <c r="A40" i="24"/>
  <c r="T39" i="24"/>
  <c r="R39" i="24"/>
  <c r="P39" i="24"/>
  <c r="K39" i="24"/>
  <c r="J39" i="24"/>
  <c r="I39" i="24"/>
  <c r="D39" i="24"/>
  <c r="B39" i="24"/>
  <c r="A39" i="24"/>
  <c r="T38" i="24"/>
  <c r="R38" i="24"/>
  <c r="P38" i="24"/>
  <c r="K38" i="24"/>
  <c r="J38" i="24"/>
  <c r="I38" i="24"/>
  <c r="D38" i="24"/>
  <c r="B38" i="24"/>
  <c r="A38" i="24"/>
  <c r="T37" i="24"/>
  <c r="R37" i="24"/>
  <c r="P37" i="24"/>
  <c r="K37" i="24"/>
  <c r="J37" i="24"/>
  <c r="I37" i="24"/>
  <c r="D37" i="24"/>
  <c r="B37" i="24"/>
  <c r="A37" i="24"/>
  <c r="T36" i="24"/>
  <c r="R36" i="24"/>
  <c r="P36" i="24"/>
  <c r="K36" i="24"/>
  <c r="J36" i="24"/>
  <c r="I36" i="24"/>
  <c r="D36" i="24"/>
  <c r="B36" i="24"/>
  <c r="A36" i="24"/>
  <c r="T35" i="24"/>
  <c r="Q35" i="24"/>
  <c r="K35" i="24"/>
  <c r="J35" i="24"/>
  <c r="I35" i="24"/>
  <c r="D35" i="24"/>
  <c r="B35" i="24"/>
  <c r="A35" i="24"/>
  <c r="T34" i="24"/>
  <c r="Q34" i="24"/>
  <c r="K34" i="24"/>
  <c r="J34" i="24"/>
  <c r="I34" i="24"/>
  <c r="D34" i="24"/>
  <c r="B34" i="24"/>
  <c r="A34" i="24"/>
  <c r="T33" i="24"/>
  <c r="Q33" i="24"/>
  <c r="K33" i="24"/>
  <c r="J33" i="24"/>
  <c r="I33" i="24"/>
  <c r="D33" i="24"/>
  <c r="B33" i="24"/>
  <c r="A33" i="24"/>
  <c r="T32" i="24"/>
  <c r="Q32" i="24"/>
  <c r="K32" i="24"/>
  <c r="J32" i="24"/>
  <c r="I32" i="24"/>
  <c r="D32" i="24"/>
  <c r="B32" i="24"/>
  <c r="A32" i="24"/>
  <c r="T31" i="24"/>
  <c r="Q31" i="24"/>
  <c r="K31" i="24"/>
  <c r="J31" i="24"/>
  <c r="I31" i="24"/>
  <c r="D31" i="24"/>
  <c r="B31" i="24"/>
  <c r="A31" i="24"/>
  <c r="T30" i="24"/>
  <c r="Q30" i="24"/>
  <c r="K30" i="24"/>
  <c r="I30" i="24"/>
  <c r="D30" i="24"/>
  <c r="B30" i="24"/>
  <c r="A30" i="24"/>
  <c r="T29" i="24"/>
  <c r="Q29" i="24"/>
  <c r="M29" i="24"/>
  <c r="G29" i="24"/>
  <c r="F29" i="24"/>
  <c r="B29" i="24"/>
  <c r="A29" i="24"/>
  <c r="T28" i="24"/>
  <c r="K28" i="24"/>
  <c r="J28" i="24"/>
  <c r="I28" i="24"/>
  <c r="D28" i="24"/>
  <c r="B28" i="24"/>
  <c r="A28" i="24"/>
  <c r="T27" i="24"/>
  <c r="K27" i="24"/>
  <c r="J27" i="24"/>
  <c r="I27" i="24"/>
  <c r="D27" i="24"/>
  <c r="B27" i="24"/>
  <c r="A27" i="24"/>
  <c r="T26" i="24"/>
  <c r="K26" i="24"/>
  <c r="I26" i="24"/>
  <c r="D26" i="24"/>
  <c r="B26" i="24"/>
  <c r="A26" i="24"/>
  <c r="T25" i="24"/>
  <c r="R25" i="24"/>
  <c r="P25" i="24"/>
  <c r="B25" i="24"/>
  <c r="A25" i="24"/>
  <c r="T24" i="24"/>
  <c r="R24" i="24"/>
  <c r="P24" i="24"/>
  <c r="L24" i="24"/>
  <c r="B24" i="24"/>
  <c r="A24" i="24"/>
  <c r="T23" i="24"/>
  <c r="R23" i="24"/>
  <c r="P23" i="24"/>
  <c r="L23" i="24"/>
  <c r="B23" i="24"/>
  <c r="A23" i="24"/>
  <c r="T22" i="24"/>
  <c r="Q22" i="24"/>
  <c r="L22" i="24"/>
  <c r="B22" i="24"/>
  <c r="A22" i="24"/>
  <c r="T21" i="24"/>
  <c r="Q21" i="24"/>
  <c r="L21" i="24"/>
  <c r="B21" i="24"/>
  <c r="A21" i="24"/>
  <c r="T20" i="24"/>
  <c r="Q20" i="24"/>
  <c r="L20" i="24"/>
  <c r="B20" i="24"/>
  <c r="A20" i="24"/>
  <c r="T19" i="24"/>
  <c r="K19" i="24"/>
  <c r="J19" i="24"/>
  <c r="I19" i="24"/>
  <c r="D19" i="24"/>
  <c r="B19" i="24"/>
  <c r="A19" i="24"/>
  <c r="T18" i="24"/>
  <c r="K18" i="24"/>
  <c r="J18" i="24"/>
  <c r="I18" i="24"/>
  <c r="D18" i="24"/>
  <c r="B18" i="24"/>
  <c r="A18" i="24"/>
  <c r="T17" i="24"/>
  <c r="K17" i="24"/>
  <c r="J17" i="24"/>
  <c r="I17" i="24"/>
  <c r="D17" i="24"/>
  <c r="B17" i="24"/>
  <c r="A17" i="24"/>
  <c r="T16" i="24"/>
  <c r="K16" i="24"/>
  <c r="J16" i="24"/>
  <c r="I16" i="24"/>
  <c r="D16" i="24"/>
  <c r="B16" i="24"/>
  <c r="A16" i="24"/>
  <c r="T15" i="24"/>
  <c r="K15" i="24"/>
  <c r="J15" i="24"/>
  <c r="I15" i="24"/>
  <c r="D15" i="24"/>
  <c r="B15" i="24"/>
  <c r="A15" i="24"/>
  <c r="T14" i="24"/>
  <c r="K14" i="24"/>
  <c r="J14" i="24"/>
  <c r="I14" i="24"/>
  <c r="D14" i="24"/>
  <c r="B14" i="24"/>
  <c r="A14" i="24"/>
  <c r="T13" i="24"/>
  <c r="K13" i="24"/>
  <c r="J13" i="24"/>
  <c r="I13" i="24"/>
  <c r="D13" i="24"/>
  <c r="B13" i="24"/>
  <c r="A13" i="24"/>
  <c r="T12" i="24"/>
  <c r="K12" i="24"/>
  <c r="J12" i="24"/>
  <c r="I12" i="24"/>
  <c r="D12" i="24"/>
  <c r="B12" i="24"/>
  <c r="A12" i="24"/>
  <c r="T11" i="24"/>
  <c r="K11" i="24"/>
  <c r="J11" i="24"/>
  <c r="I11" i="24"/>
  <c r="D11" i="24"/>
  <c r="B11" i="24"/>
  <c r="A11" i="24"/>
  <c r="T10" i="24"/>
  <c r="K10" i="24"/>
  <c r="J10" i="24"/>
  <c r="I10" i="24"/>
  <c r="D10" i="24"/>
  <c r="B10" i="24"/>
  <c r="A10" i="24"/>
  <c r="T9" i="24"/>
  <c r="K9" i="24"/>
  <c r="J9" i="24"/>
  <c r="I9" i="24"/>
  <c r="D9" i="24"/>
  <c r="B9" i="24"/>
  <c r="A9" i="24"/>
  <c r="T8" i="24"/>
  <c r="Q8" i="24"/>
  <c r="L8" i="24"/>
  <c r="K8" i="24"/>
  <c r="J8" i="24"/>
  <c r="I8" i="24"/>
  <c r="D8" i="24"/>
  <c r="B8" i="24"/>
  <c r="A8" i="24"/>
  <c r="T7" i="24"/>
  <c r="K7" i="24"/>
  <c r="J7" i="24"/>
  <c r="I7" i="24"/>
  <c r="D7" i="24"/>
  <c r="B7" i="24"/>
  <c r="A7" i="24"/>
  <c r="T6" i="24"/>
  <c r="Q6" i="24"/>
  <c r="B6" i="24"/>
  <c r="A6" i="24"/>
  <c r="T5" i="24"/>
  <c r="Q5" i="24"/>
  <c r="B5" i="24"/>
  <c r="A5" i="24"/>
  <c r="T4" i="24"/>
  <c r="S4" i="24"/>
  <c r="R4" i="24"/>
  <c r="Q4" i="24"/>
  <c r="P4" i="24"/>
  <c r="M4" i="24"/>
  <c r="G4" i="24"/>
  <c r="B4" i="24"/>
  <c r="A4" i="24"/>
  <c r="T3" i="24"/>
  <c r="O3" i="24"/>
  <c r="N3" i="24"/>
  <c r="C3" i="24"/>
  <c r="B3" i="24"/>
  <c r="A3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A2" i="24"/>
  <c r="AC1" i="24"/>
  <c r="AB1" i="24"/>
  <c r="AA1" i="24"/>
  <c r="Z1" i="24"/>
  <c r="Y1" i="24"/>
  <c r="X1" i="24"/>
  <c r="W1" i="24"/>
  <c r="V1" i="24"/>
  <c r="U1" i="24"/>
  <c r="T1" i="24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A40" i="23"/>
  <c r="T39" i="23"/>
  <c r="R39" i="23"/>
  <c r="Q39" i="23"/>
  <c r="B39" i="23"/>
  <c r="A39" i="23"/>
  <c r="T38" i="23"/>
  <c r="R38" i="23"/>
  <c r="Q38" i="23"/>
  <c r="B38" i="23"/>
  <c r="A38" i="23"/>
  <c r="T37" i="23"/>
  <c r="R37" i="23"/>
  <c r="Q37" i="23"/>
  <c r="K37" i="23"/>
  <c r="J37" i="23"/>
  <c r="I37" i="23"/>
  <c r="B37" i="23"/>
  <c r="A37" i="23"/>
  <c r="T36" i="23"/>
  <c r="R36" i="23"/>
  <c r="Q36" i="23"/>
  <c r="L36" i="23"/>
  <c r="K36" i="23"/>
  <c r="J36" i="23"/>
  <c r="I36" i="23"/>
  <c r="B36" i="23"/>
  <c r="A36" i="23"/>
  <c r="T35" i="23"/>
  <c r="S35" i="23"/>
  <c r="R35" i="23"/>
  <c r="Q35" i="23"/>
  <c r="M35" i="23"/>
  <c r="L35" i="23"/>
  <c r="K35" i="23"/>
  <c r="J35" i="23"/>
  <c r="I35" i="23"/>
  <c r="H35" i="23"/>
  <c r="G35" i="23"/>
  <c r="D35" i="23"/>
  <c r="B35" i="23"/>
  <c r="A35" i="23"/>
  <c r="T34" i="23"/>
  <c r="R34" i="23"/>
  <c r="B34" i="23"/>
  <c r="A34" i="23"/>
  <c r="T33" i="23"/>
  <c r="R33" i="23"/>
  <c r="B33" i="23"/>
  <c r="A33" i="23"/>
  <c r="T32" i="23"/>
  <c r="R32" i="23"/>
  <c r="L32" i="23"/>
  <c r="H32" i="23"/>
  <c r="G32" i="23"/>
  <c r="B32" i="23"/>
  <c r="A32" i="23"/>
  <c r="T31" i="23"/>
  <c r="R31" i="23"/>
  <c r="L31" i="23"/>
  <c r="K31" i="23"/>
  <c r="J31" i="23"/>
  <c r="I31" i="23"/>
  <c r="D31" i="23"/>
  <c r="B31" i="23"/>
  <c r="A31" i="23"/>
  <c r="T30" i="23"/>
  <c r="R30" i="23"/>
  <c r="Q30" i="23"/>
  <c r="K30" i="23"/>
  <c r="J30" i="23"/>
  <c r="I30" i="23"/>
  <c r="D30" i="23"/>
  <c r="B30" i="23"/>
  <c r="A30" i="23"/>
  <c r="T29" i="23"/>
  <c r="R29" i="23"/>
  <c r="Q29" i="23"/>
  <c r="P29" i="23"/>
  <c r="K29" i="23"/>
  <c r="J29" i="23"/>
  <c r="I29" i="23"/>
  <c r="D29" i="23"/>
  <c r="B29" i="23"/>
  <c r="A29" i="23"/>
  <c r="T28" i="23"/>
  <c r="R28" i="23"/>
  <c r="Q28" i="23"/>
  <c r="P28" i="23"/>
  <c r="L28" i="23"/>
  <c r="K28" i="23"/>
  <c r="J28" i="23"/>
  <c r="I28" i="23"/>
  <c r="D28" i="23"/>
  <c r="B28" i="23"/>
  <c r="A28" i="23"/>
  <c r="T27" i="23"/>
  <c r="R27" i="23"/>
  <c r="Q27" i="23"/>
  <c r="P27" i="23"/>
  <c r="L27" i="23"/>
  <c r="K27" i="23"/>
  <c r="J27" i="23"/>
  <c r="I27" i="23"/>
  <c r="D27" i="23"/>
  <c r="B27" i="23"/>
  <c r="A27" i="23"/>
  <c r="T26" i="23"/>
  <c r="R26" i="23"/>
  <c r="Q26" i="23"/>
  <c r="P26" i="23"/>
  <c r="L26" i="23"/>
  <c r="H26" i="23"/>
  <c r="G26" i="23"/>
  <c r="D26" i="23"/>
  <c r="B26" i="23"/>
  <c r="A26" i="23"/>
  <c r="T25" i="23"/>
  <c r="N25" i="23"/>
  <c r="C25" i="23"/>
  <c r="B25" i="23"/>
  <c r="A25" i="23"/>
  <c r="T24" i="23"/>
  <c r="N24" i="23"/>
  <c r="C24" i="23"/>
  <c r="B24" i="23"/>
  <c r="A24" i="23"/>
  <c r="T23" i="23"/>
  <c r="M23" i="23"/>
  <c r="B23" i="23"/>
  <c r="A23" i="23"/>
  <c r="T22" i="23"/>
  <c r="Q22" i="23"/>
  <c r="B22" i="23"/>
  <c r="A22" i="23"/>
  <c r="T21" i="23"/>
  <c r="R21" i="23"/>
  <c r="Q21" i="23"/>
  <c r="H21" i="23"/>
  <c r="B21" i="23"/>
  <c r="A21" i="23"/>
  <c r="T20" i="23"/>
  <c r="N20" i="23"/>
  <c r="C20" i="23"/>
  <c r="B20" i="23"/>
  <c r="A20" i="23"/>
  <c r="T19" i="23"/>
  <c r="K19" i="23"/>
  <c r="J19" i="23"/>
  <c r="I19" i="23"/>
  <c r="D19" i="23"/>
  <c r="B19" i="23"/>
  <c r="A19" i="23"/>
  <c r="T18" i="23"/>
  <c r="K18" i="23"/>
  <c r="J18" i="23"/>
  <c r="I18" i="23"/>
  <c r="D18" i="23"/>
  <c r="B18" i="23"/>
  <c r="A18" i="23"/>
  <c r="T17" i="23"/>
  <c r="R17" i="23"/>
  <c r="Q17" i="23"/>
  <c r="K17" i="23"/>
  <c r="J17" i="23"/>
  <c r="H17" i="23"/>
  <c r="G17" i="23"/>
  <c r="D17" i="23"/>
  <c r="B17" i="23"/>
  <c r="A17" i="23"/>
  <c r="T16" i="23"/>
  <c r="K16" i="23"/>
  <c r="J16" i="23"/>
  <c r="D16" i="23"/>
  <c r="B16" i="23"/>
  <c r="A16" i="23"/>
  <c r="T15" i="23"/>
  <c r="K15" i="23"/>
  <c r="J15" i="23"/>
  <c r="I15" i="23"/>
  <c r="F15" i="23"/>
  <c r="D15" i="23"/>
  <c r="B15" i="23"/>
  <c r="A15" i="23"/>
  <c r="T14" i="23"/>
  <c r="R14" i="23"/>
  <c r="K14" i="23"/>
  <c r="J14" i="23"/>
  <c r="I14" i="23"/>
  <c r="D14" i="23"/>
  <c r="B14" i="23"/>
  <c r="A14" i="23"/>
  <c r="T13" i="23"/>
  <c r="R13" i="23"/>
  <c r="P13" i="23"/>
  <c r="D13" i="23"/>
  <c r="B13" i="23"/>
  <c r="A13" i="23"/>
  <c r="T12" i="23"/>
  <c r="R12" i="23"/>
  <c r="P12" i="23"/>
  <c r="L12" i="23"/>
  <c r="K12" i="23"/>
  <c r="J12" i="23"/>
  <c r="I12" i="23"/>
  <c r="H12" i="23"/>
  <c r="G12" i="23"/>
  <c r="F12" i="23"/>
  <c r="D12" i="23"/>
  <c r="B12" i="23"/>
  <c r="A12" i="23"/>
  <c r="T11" i="23"/>
  <c r="M11" i="23"/>
  <c r="B11" i="23"/>
  <c r="A11" i="23"/>
  <c r="T10" i="23"/>
  <c r="S10" i="23"/>
  <c r="H10" i="23"/>
  <c r="G10" i="23"/>
  <c r="F10" i="23"/>
  <c r="D10" i="23"/>
  <c r="B10" i="23"/>
  <c r="A10" i="23"/>
  <c r="T9" i="23"/>
  <c r="N9" i="23"/>
  <c r="C9" i="23"/>
  <c r="B9" i="23"/>
  <c r="A9" i="23"/>
  <c r="T8" i="23"/>
  <c r="L8" i="23"/>
  <c r="G8" i="23"/>
  <c r="D8" i="23"/>
  <c r="B8" i="23"/>
  <c r="A8" i="23"/>
  <c r="T7" i="23"/>
  <c r="R7" i="23"/>
  <c r="P7" i="23"/>
  <c r="G7" i="23"/>
  <c r="D7" i="23"/>
  <c r="B7" i="23"/>
  <c r="A7" i="23"/>
  <c r="T6" i="23"/>
  <c r="R6" i="23"/>
  <c r="Q6" i="23"/>
  <c r="P6" i="23"/>
  <c r="G6" i="23"/>
  <c r="D6" i="23"/>
  <c r="B6" i="23"/>
  <c r="A6" i="23"/>
  <c r="T5" i="23"/>
  <c r="L5" i="23"/>
  <c r="G5" i="23"/>
  <c r="D5" i="23"/>
  <c r="B5" i="23"/>
  <c r="A5" i="23"/>
  <c r="T4" i="23"/>
  <c r="R4" i="23"/>
  <c r="D4" i="23"/>
  <c r="B4" i="23"/>
  <c r="A4" i="23"/>
  <c r="T3" i="23"/>
  <c r="O3" i="23"/>
  <c r="N3" i="23"/>
  <c r="C3" i="23"/>
  <c r="B3" i="23"/>
  <c r="A3" i="23"/>
  <c r="T2" i="23"/>
  <c r="P2" i="23"/>
  <c r="L2" i="23"/>
  <c r="D2" i="23"/>
  <c r="B2" i="23"/>
  <c r="A2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A54" i="22"/>
  <c r="T53" i="22"/>
  <c r="M53" i="22"/>
  <c r="B53" i="22"/>
  <c r="A53" i="22"/>
  <c r="T52" i="22"/>
  <c r="M52" i="22"/>
  <c r="B52" i="22"/>
  <c r="A52" i="22"/>
  <c r="T51" i="22"/>
  <c r="M51" i="22"/>
  <c r="B51" i="22"/>
  <c r="A51" i="22"/>
  <c r="T50" i="22"/>
  <c r="M50" i="22"/>
  <c r="B50" i="22"/>
  <c r="A50" i="22"/>
  <c r="T49" i="22"/>
  <c r="M49" i="22"/>
  <c r="B49" i="22"/>
  <c r="A49" i="22"/>
  <c r="T48" i="22"/>
  <c r="M48" i="22"/>
  <c r="B48" i="22"/>
  <c r="A48" i="22"/>
  <c r="T47" i="22"/>
  <c r="M47" i="22"/>
  <c r="B47" i="22"/>
  <c r="A47" i="22"/>
  <c r="T46" i="22"/>
  <c r="N46" i="22"/>
  <c r="C46" i="22"/>
  <c r="B46" i="22"/>
  <c r="A46" i="22"/>
  <c r="T45" i="22"/>
  <c r="N45" i="22"/>
  <c r="C45" i="22"/>
  <c r="B45" i="22"/>
  <c r="A45" i="22"/>
  <c r="T44" i="22"/>
  <c r="R44" i="22"/>
  <c r="B44" i="22"/>
  <c r="A44" i="22"/>
  <c r="T43" i="22"/>
  <c r="R43" i="22"/>
  <c r="Q43" i="22"/>
  <c r="P43" i="22"/>
  <c r="G43" i="22"/>
  <c r="B43" i="22"/>
  <c r="A43" i="22"/>
  <c r="T42" i="22"/>
  <c r="R42" i="22"/>
  <c r="B42" i="22"/>
  <c r="A42" i="22"/>
  <c r="T41" i="22"/>
  <c r="S41" i="22"/>
  <c r="R41" i="22"/>
  <c r="P41" i="22"/>
  <c r="K41" i="22"/>
  <c r="J41" i="22"/>
  <c r="I41" i="22"/>
  <c r="H41" i="22"/>
  <c r="G41" i="22"/>
  <c r="D41" i="22"/>
  <c r="B41" i="22"/>
  <c r="A41" i="22"/>
  <c r="T40" i="22"/>
  <c r="N40" i="22"/>
  <c r="C40" i="22"/>
  <c r="B40" i="22"/>
  <c r="A40" i="22"/>
  <c r="T39" i="22"/>
  <c r="M39" i="22"/>
  <c r="H39" i="22"/>
  <c r="B39" i="22"/>
  <c r="A39" i="22"/>
  <c r="T38" i="22"/>
  <c r="K38" i="22"/>
  <c r="J38" i="22"/>
  <c r="I38" i="22"/>
  <c r="D38" i="22"/>
  <c r="B38" i="22"/>
  <c r="A38" i="22"/>
  <c r="T37" i="22"/>
  <c r="S37" i="22"/>
  <c r="R37" i="22"/>
  <c r="Q37" i="22"/>
  <c r="K37" i="22"/>
  <c r="J37" i="22"/>
  <c r="I37" i="22"/>
  <c r="D37" i="22"/>
  <c r="B37" i="22"/>
  <c r="A37" i="22"/>
  <c r="T36" i="22"/>
  <c r="R36" i="22"/>
  <c r="B36" i="22"/>
  <c r="A36" i="22"/>
  <c r="T35" i="22"/>
  <c r="S35" i="22"/>
  <c r="Q35" i="22"/>
  <c r="B35" i="22"/>
  <c r="A35" i="22"/>
  <c r="T34" i="22"/>
  <c r="S34" i="22"/>
  <c r="R34" i="22"/>
  <c r="Q34" i="22"/>
  <c r="P34" i="22"/>
  <c r="K34" i="22"/>
  <c r="J34" i="22"/>
  <c r="I34" i="22"/>
  <c r="D34" i="22"/>
  <c r="B34" i="22"/>
  <c r="A34" i="22"/>
  <c r="T33" i="22"/>
  <c r="R33" i="22"/>
  <c r="B33" i="22"/>
  <c r="A33" i="22"/>
  <c r="T32" i="22"/>
  <c r="R32" i="22"/>
  <c r="P32" i="22"/>
  <c r="K32" i="22"/>
  <c r="J32" i="22"/>
  <c r="I32" i="22"/>
  <c r="D32" i="22"/>
  <c r="B32" i="22"/>
  <c r="A32" i="22"/>
  <c r="T31" i="22"/>
  <c r="R31" i="22"/>
  <c r="P31" i="22"/>
  <c r="K31" i="22"/>
  <c r="J31" i="22"/>
  <c r="I31" i="22"/>
  <c r="H31" i="22"/>
  <c r="G31" i="22"/>
  <c r="D31" i="22"/>
  <c r="B31" i="22"/>
  <c r="A31" i="22"/>
  <c r="T30" i="22"/>
  <c r="M30" i="22"/>
  <c r="B30" i="22"/>
  <c r="A30" i="22"/>
  <c r="T29" i="22"/>
  <c r="K29" i="22"/>
  <c r="J29" i="22"/>
  <c r="D29" i="22"/>
  <c r="B29" i="22"/>
  <c r="A29" i="22"/>
  <c r="T28" i="22"/>
  <c r="R28" i="22"/>
  <c r="K28" i="22"/>
  <c r="J28" i="22"/>
  <c r="I28" i="22"/>
  <c r="H28" i="22"/>
  <c r="D28" i="22"/>
  <c r="B28" i="22"/>
  <c r="A28" i="22"/>
  <c r="T27" i="22"/>
  <c r="R27" i="22"/>
  <c r="G27" i="22"/>
  <c r="B27" i="22"/>
  <c r="A27" i="22"/>
  <c r="T26" i="22"/>
  <c r="M26" i="22"/>
  <c r="B26" i="22"/>
  <c r="A26" i="22"/>
  <c r="T25" i="22"/>
  <c r="R25" i="22"/>
  <c r="K25" i="22"/>
  <c r="J25" i="22"/>
  <c r="I25" i="22"/>
  <c r="B25" i="22"/>
  <c r="A25" i="22"/>
  <c r="T24" i="22"/>
  <c r="S24" i="22"/>
  <c r="R24" i="22"/>
  <c r="K24" i="22"/>
  <c r="J24" i="22"/>
  <c r="I24" i="22"/>
  <c r="H24" i="22"/>
  <c r="G24" i="22"/>
  <c r="D24" i="22"/>
  <c r="B24" i="22"/>
  <c r="A24" i="22"/>
  <c r="T23" i="22"/>
  <c r="S23" i="22"/>
  <c r="K23" i="22"/>
  <c r="J23" i="22"/>
  <c r="I23" i="22"/>
  <c r="B23" i="22"/>
  <c r="A23" i="22"/>
  <c r="T22" i="22"/>
  <c r="R22" i="22"/>
  <c r="G22" i="22"/>
  <c r="B22" i="22"/>
  <c r="A22" i="22"/>
  <c r="T21" i="22"/>
  <c r="S21" i="22"/>
  <c r="R21" i="22"/>
  <c r="B21" i="22"/>
  <c r="A21" i="22"/>
  <c r="T20" i="22"/>
  <c r="K20" i="22"/>
  <c r="J20" i="22"/>
  <c r="D20" i="22"/>
  <c r="B20" i="22"/>
  <c r="A20" i="22"/>
  <c r="T19" i="22"/>
  <c r="H19" i="22"/>
  <c r="B19" i="22"/>
  <c r="A19" i="22"/>
  <c r="T18" i="22"/>
  <c r="N18" i="22"/>
  <c r="C18" i="22"/>
  <c r="B18" i="22"/>
  <c r="A18" i="22"/>
  <c r="T17" i="22"/>
  <c r="R17" i="22"/>
  <c r="B17" i="22"/>
  <c r="A17" i="22"/>
  <c r="T16" i="22"/>
  <c r="R16" i="22"/>
  <c r="B16" i="22"/>
  <c r="A16" i="22"/>
  <c r="T15" i="22"/>
  <c r="R15" i="22"/>
  <c r="P15" i="22"/>
  <c r="B15" i="22"/>
  <c r="A15" i="22"/>
  <c r="T14" i="22"/>
  <c r="S14" i="22"/>
  <c r="R14" i="22"/>
  <c r="K14" i="22"/>
  <c r="J14" i="22"/>
  <c r="I14" i="22"/>
  <c r="H14" i="22"/>
  <c r="G14" i="22"/>
  <c r="D14" i="22"/>
  <c r="B14" i="22"/>
  <c r="A14" i="22"/>
  <c r="T13" i="22"/>
  <c r="R13" i="22"/>
  <c r="P13" i="22"/>
  <c r="B13" i="22"/>
  <c r="A13" i="22"/>
  <c r="T12" i="22"/>
  <c r="R12" i="22"/>
  <c r="L12" i="22"/>
  <c r="G12" i="22"/>
  <c r="B12" i="22"/>
  <c r="A12" i="22"/>
  <c r="T11" i="22"/>
  <c r="R11" i="22"/>
  <c r="Q11" i="22"/>
  <c r="B11" i="22"/>
  <c r="A11" i="22"/>
  <c r="T10" i="22"/>
  <c r="R10" i="22"/>
  <c r="G10" i="22"/>
  <c r="B10" i="22"/>
  <c r="A10" i="22"/>
  <c r="T9" i="22"/>
  <c r="J9" i="22"/>
  <c r="I9" i="22"/>
  <c r="D9" i="22"/>
  <c r="B9" i="22"/>
  <c r="A9" i="22"/>
  <c r="T8" i="22"/>
  <c r="K8" i="22"/>
  <c r="J8" i="22"/>
  <c r="I8" i="22"/>
  <c r="D8" i="22"/>
  <c r="B8" i="22"/>
  <c r="A8" i="22"/>
  <c r="T7" i="22"/>
  <c r="R7" i="22"/>
  <c r="K7" i="22"/>
  <c r="J7" i="22"/>
  <c r="I7" i="22"/>
  <c r="D7" i="22"/>
  <c r="B7" i="22"/>
  <c r="A7" i="22"/>
  <c r="T6" i="22"/>
  <c r="R6" i="22"/>
  <c r="K6" i="22"/>
  <c r="J6" i="22"/>
  <c r="I6" i="22"/>
  <c r="G6" i="22"/>
  <c r="D6" i="22"/>
  <c r="B6" i="22"/>
  <c r="A6" i="22"/>
  <c r="T5" i="22"/>
  <c r="Q5" i="22"/>
  <c r="B5" i="22"/>
  <c r="A5" i="22"/>
  <c r="T4" i="22"/>
  <c r="Q4" i="22"/>
  <c r="B4" i="22"/>
  <c r="A4" i="22"/>
  <c r="T3" i="22"/>
  <c r="S3" i="22"/>
  <c r="R3" i="22"/>
  <c r="Q3" i="22"/>
  <c r="P3" i="22"/>
  <c r="M3" i="22"/>
  <c r="L3" i="22"/>
  <c r="K3" i="22"/>
  <c r="J3" i="22"/>
  <c r="I3" i="22"/>
  <c r="G3" i="22"/>
  <c r="F3" i="22"/>
  <c r="D3" i="22"/>
  <c r="B3" i="22"/>
  <c r="A3" i="22"/>
  <c r="T2" i="22"/>
  <c r="O2" i="22"/>
  <c r="N2" i="22"/>
  <c r="C2" i="22"/>
  <c r="B2" i="22"/>
  <c r="A2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A1" i="22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T45" i="21"/>
  <c r="I45" i="21"/>
  <c r="B45" i="21"/>
  <c r="A45" i="21"/>
  <c r="T44" i="21"/>
  <c r="I44" i="21"/>
  <c r="B44" i="21"/>
  <c r="A44" i="21"/>
  <c r="T43" i="21"/>
  <c r="I43" i="21"/>
  <c r="B43" i="21"/>
  <c r="A43" i="21"/>
  <c r="T42" i="21"/>
  <c r="Q42" i="21"/>
  <c r="I42" i="21"/>
  <c r="B42" i="21"/>
  <c r="A42" i="21"/>
  <c r="T41" i="21"/>
  <c r="Q41" i="21"/>
  <c r="B41" i="21"/>
  <c r="A41" i="21"/>
  <c r="T40" i="21"/>
  <c r="Q40" i="21"/>
  <c r="B40" i="21"/>
  <c r="A40" i="21"/>
  <c r="T39" i="21"/>
  <c r="Q39" i="21"/>
  <c r="B39" i="21"/>
  <c r="A39" i="21"/>
  <c r="T38" i="21"/>
  <c r="Q38" i="21"/>
  <c r="B38" i="21"/>
  <c r="A38" i="21"/>
  <c r="T37" i="21"/>
  <c r="K37" i="21"/>
  <c r="J37" i="21"/>
  <c r="B37" i="21"/>
  <c r="A37" i="21"/>
  <c r="T36" i="21"/>
  <c r="S36" i="21"/>
  <c r="K36" i="21"/>
  <c r="J36" i="21"/>
  <c r="H36" i="21"/>
  <c r="D36" i="21"/>
  <c r="B36" i="21"/>
  <c r="A36" i="21"/>
  <c r="T35" i="21"/>
  <c r="N35" i="21"/>
  <c r="C35" i="21"/>
  <c r="B35" i="21"/>
  <c r="A35" i="21"/>
  <c r="T34" i="21"/>
  <c r="G34" i="21"/>
  <c r="B34" i="21"/>
  <c r="A34" i="21"/>
  <c r="T33" i="21"/>
  <c r="Q33" i="21"/>
  <c r="B33" i="21"/>
  <c r="A33" i="21"/>
  <c r="T32" i="21"/>
  <c r="Q32" i="21"/>
  <c r="G32" i="21"/>
  <c r="B32" i="21"/>
  <c r="A32" i="21"/>
  <c r="T31" i="21"/>
  <c r="N31" i="21"/>
  <c r="C31" i="21"/>
  <c r="B31" i="21"/>
  <c r="A31" i="21"/>
  <c r="T30" i="21"/>
  <c r="Q30" i="21"/>
  <c r="B30" i="21"/>
  <c r="A30" i="21"/>
  <c r="T29" i="21"/>
  <c r="Q29" i="21"/>
  <c r="B29" i="21"/>
  <c r="A29" i="21"/>
  <c r="T28" i="21"/>
  <c r="S28" i="21"/>
  <c r="Q28" i="21"/>
  <c r="K28" i="21"/>
  <c r="J28" i="21"/>
  <c r="I28" i="21"/>
  <c r="G28" i="21"/>
  <c r="D28" i="21"/>
  <c r="B28" i="21"/>
  <c r="A28" i="21"/>
  <c r="T27" i="21"/>
  <c r="N27" i="21"/>
  <c r="C27" i="21"/>
  <c r="B27" i="21"/>
  <c r="A27" i="21"/>
  <c r="T26" i="21"/>
  <c r="H26" i="21"/>
  <c r="B26" i="21"/>
  <c r="A26" i="21"/>
  <c r="T25" i="21"/>
  <c r="Q25" i="21"/>
  <c r="B25" i="21"/>
  <c r="A25" i="21"/>
  <c r="T24" i="21"/>
  <c r="Q24" i="21"/>
  <c r="B24" i="21"/>
  <c r="A24" i="21"/>
  <c r="T23" i="21"/>
  <c r="R23" i="21"/>
  <c r="B23" i="21"/>
  <c r="A23" i="21"/>
  <c r="T22" i="21"/>
  <c r="K22" i="21"/>
  <c r="J22" i="21"/>
  <c r="I22" i="21"/>
  <c r="D22" i="21"/>
  <c r="B22" i="21"/>
  <c r="A22" i="21"/>
  <c r="T21" i="21"/>
  <c r="H21" i="21"/>
  <c r="B21" i="21"/>
  <c r="A21" i="21"/>
  <c r="T20" i="21"/>
  <c r="L20" i="21"/>
  <c r="B20" i="21"/>
  <c r="A20" i="21"/>
  <c r="T19" i="21"/>
  <c r="G19" i="21"/>
  <c r="B19" i="21"/>
  <c r="A19" i="21"/>
  <c r="T18" i="21"/>
  <c r="G18" i="21"/>
  <c r="B18" i="21"/>
  <c r="A18" i="21"/>
  <c r="T17" i="21"/>
  <c r="S17" i="21"/>
  <c r="K17" i="21"/>
  <c r="D17" i="21"/>
  <c r="B17" i="21"/>
  <c r="A17" i="21"/>
  <c r="T16" i="21"/>
  <c r="L16" i="21"/>
  <c r="B16" i="21"/>
  <c r="A16" i="21"/>
  <c r="T15" i="21"/>
  <c r="L15" i="21"/>
  <c r="B15" i="21"/>
  <c r="A15" i="21"/>
  <c r="T14" i="21"/>
  <c r="R14" i="21"/>
  <c r="H14" i="21"/>
  <c r="B14" i="21"/>
  <c r="A14" i="21"/>
  <c r="T13" i="21"/>
  <c r="S13" i="21"/>
  <c r="B13" i="21"/>
  <c r="A13" i="21"/>
  <c r="T12" i="21"/>
  <c r="K12" i="21"/>
  <c r="J12" i="21"/>
  <c r="I12" i="21"/>
  <c r="D12" i="21"/>
  <c r="B12" i="21"/>
  <c r="A12" i="21"/>
  <c r="T11" i="21"/>
  <c r="K11" i="21"/>
  <c r="J11" i="21"/>
  <c r="I11" i="21"/>
  <c r="D11" i="21"/>
  <c r="B11" i="21"/>
  <c r="A11" i="21"/>
  <c r="T10" i="21"/>
  <c r="Q10" i="21"/>
  <c r="B10" i="21"/>
  <c r="A10" i="21"/>
  <c r="T9" i="21"/>
  <c r="Q9" i="21"/>
  <c r="B9" i="21"/>
  <c r="A9" i="21"/>
  <c r="T8" i="21"/>
  <c r="Q8" i="21"/>
  <c r="F8" i="21"/>
  <c r="B8" i="21"/>
  <c r="A8" i="21"/>
  <c r="T7" i="21"/>
  <c r="Q7" i="21"/>
  <c r="L7" i="21"/>
  <c r="F7" i="21"/>
  <c r="B7" i="21"/>
  <c r="A7" i="21"/>
  <c r="T6" i="21"/>
  <c r="N6" i="21"/>
  <c r="C6" i="21"/>
  <c r="B6" i="21"/>
  <c r="A6" i="21"/>
  <c r="T5" i="21"/>
  <c r="Q5" i="21"/>
  <c r="B5" i="21"/>
  <c r="A5" i="21"/>
  <c r="T4" i="21"/>
  <c r="Q4" i="21"/>
  <c r="B4" i="21"/>
  <c r="A4" i="21"/>
  <c r="T3" i="21"/>
  <c r="S3" i="21"/>
  <c r="Q3" i="21"/>
  <c r="L3" i="21"/>
  <c r="K3" i="21"/>
  <c r="J3" i="21"/>
  <c r="I3" i="21"/>
  <c r="H3" i="21"/>
  <c r="D3" i="21"/>
  <c r="B3" i="21"/>
  <c r="A3" i="21"/>
  <c r="T2" i="21"/>
  <c r="O2" i="21"/>
  <c r="N2" i="21"/>
  <c r="C2" i="21"/>
  <c r="B2" i="21"/>
  <c r="A2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43" i="20"/>
  <c r="T42" i="20"/>
  <c r="K42" i="20"/>
  <c r="J42" i="20"/>
  <c r="I42" i="20"/>
  <c r="H42" i="20"/>
  <c r="D42" i="20"/>
  <c r="B42" i="20"/>
  <c r="A42" i="20"/>
  <c r="T41" i="20"/>
  <c r="M41" i="20"/>
  <c r="H41" i="20"/>
  <c r="B41" i="20"/>
  <c r="A41" i="20"/>
  <c r="T40" i="20"/>
  <c r="N40" i="20"/>
  <c r="C40" i="20"/>
  <c r="B40" i="20"/>
  <c r="A40" i="20"/>
  <c r="T39" i="20"/>
  <c r="N39" i="20"/>
  <c r="C39" i="20"/>
  <c r="B39" i="20"/>
  <c r="A39" i="20"/>
  <c r="T38" i="20"/>
  <c r="M38" i="20"/>
  <c r="L38" i="20"/>
  <c r="K38" i="20"/>
  <c r="J38" i="20"/>
  <c r="H38" i="20"/>
  <c r="G38" i="20"/>
  <c r="D38" i="20"/>
  <c r="B38" i="20"/>
  <c r="A38" i="20"/>
  <c r="T37" i="20"/>
  <c r="N37" i="20"/>
  <c r="C37" i="20"/>
  <c r="B37" i="20"/>
  <c r="A37" i="20"/>
  <c r="T36" i="20"/>
  <c r="K36" i="20"/>
  <c r="H36" i="20"/>
  <c r="G36" i="20"/>
  <c r="D36" i="20"/>
  <c r="B36" i="20"/>
  <c r="A36" i="20"/>
  <c r="T35" i="20"/>
  <c r="S35" i="20"/>
  <c r="Q35" i="20"/>
  <c r="K35" i="20"/>
  <c r="J35" i="20"/>
  <c r="D35" i="20"/>
  <c r="B35" i="20"/>
  <c r="A35" i="20"/>
  <c r="T34" i="20"/>
  <c r="S34" i="20"/>
  <c r="L34" i="20"/>
  <c r="H34" i="20"/>
  <c r="G34" i="20"/>
  <c r="B34" i="20"/>
  <c r="A34" i="20"/>
  <c r="T33" i="20"/>
  <c r="R33" i="20"/>
  <c r="L33" i="20"/>
  <c r="H33" i="20"/>
  <c r="G33" i="20"/>
  <c r="B33" i="20"/>
  <c r="A33" i="20"/>
  <c r="T32" i="20"/>
  <c r="F32" i="20"/>
  <c r="B32" i="20"/>
  <c r="A32" i="20"/>
  <c r="T31" i="20"/>
  <c r="H31" i="20"/>
  <c r="B31" i="20"/>
  <c r="A31" i="20"/>
  <c r="T30" i="20"/>
  <c r="K30" i="20"/>
  <c r="D30" i="20"/>
  <c r="B30" i="20"/>
  <c r="A30" i="20"/>
  <c r="T29" i="20"/>
  <c r="K29" i="20"/>
  <c r="J29" i="20"/>
  <c r="I29" i="20"/>
  <c r="D29" i="20"/>
  <c r="B29" i="20"/>
  <c r="A29" i="20"/>
  <c r="T28" i="20"/>
  <c r="R28" i="20"/>
  <c r="K28" i="20"/>
  <c r="J28" i="20"/>
  <c r="I28" i="20"/>
  <c r="H28" i="20"/>
  <c r="G28" i="20"/>
  <c r="D28" i="20"/>
  <c r="B28" i="20"/>
  <c r="A28" i="20"/>
  <c r="T27" i="20"/>
  <c r="K27" i="20"/>
  <c r="J27" i="20"/>
  <c r="I27" i="20"/>
  <c r="D27" i="20"/>
  <c r="B27" i="20"/>
  <c r="A27" i="20"/>
  <c r="T26" i="20"/>
  <c r="R26" i="20"/>
  <c r="Q26" i="20"/>
  <c r="P26" i="20"/>
  <c r="B26" i="20"/>
  <c r="A26" i="20"/>
  <c r="T25" i="20"/>
  <c r="L25" i="20"/>
  <c r="K25" i="20"/>
  <c r="J25" i="20"/>
  <c r="I25" i="20"/>
  <c r="H25" i="20"/>
  <c r="G25" i="20"/>
  <c r="D25" i="20"/>
  <c r="B25" i="20"/>
  <c r="A25" i="20"/>
  <c r="T24" i="20"/>
  <c r="K24" i="20"/>
  <c r="J24" i="20"/>
  <c r="I24" i="20"/>
  <c r="D24" i="20"/>
  <c r="B24" i="20"/>
  <c r="A24" i="20"/>
  <c r="T23" i="20"/>
  <c r="K23" i="20"/>
  <c r="J23" i="20"/>
  <c r="I23" i="20"/>
  <c r="D23" i="20"/>
  <c r="B23" i="20"/>
  <c r="A23" i="20"/>
  <c r="T22" i="20"/>
  <c r="L22" i="20"/>
  <c r="K22" i="20"/>
  <c r="J22" i="20"/>
  <c r="I22" i="20"/>
  <c r="H22" i="20"/>
  <c r="G22" i="20"/>
  <c r="D22" i="20"/>
  <c r="B22" i="20"/>
  <c r="A22" i="20"/>
  <c r="T21" i="20"/>
  <c r="L21" i="20"/>
  <c r="H21" i="20"/>
  <c r="G21" i="20"/>
  <c r="B21" i="20"/>
  <c r="A21" i="20"/>
  <c r="T20" i="20"/>
  <c r="N20" i="20"/>
  <c r="C20" i="20"/>
  <c r="B20" i="20"/>
  <c r="A20" i="20"/>
  <c r="T19" i="20"/>
  <c r="H19" i="20"/>
  <c r="B19" i="20"/>
  <c r="A19" i="20"/>
  <c r="T18" i="20"/>
  <c r="G18" i="20"/>
  <c r="B18" i="20"/>
  <c r="A18" i="20"/>
  <c r="T17" i="20"/>
  <c r="K17" i="20"/>
  <c r="I17" i="20"/>
  <c r="D17" i="20"/>
  <c r="B17" i="20"/>
  <c r="A17" i="20"/>
  <c r="T16" i="20"/>
  <c r="S16" i="20"/>
  <c r="Q16" i="20"/>
  <c r="M16" i="20"/>
  <c r="L16" i="20"/>
  <c r="B16" i="20"/>
  <c r="A16" i="20"/>
  <c r="T15" i="20"/>
  <c r="R15" i="20"/>
  <c r="B15" i="20"/>
  <c r="A15" i="20"/>
  <c r="T14" i="20"/>
  <c r="L14" i="20"/>
  <c r="G14" i="20"/>
  <c r="B14" i="20"/>
  <c r="A14" i="20"/>
  <c r="T13" i="20"/>
  <c r="K13" i="20"/>
  <c r="J13" i="20"/>
  <c r="I13" i="20"/>
  <c r="D13" i="20"/>
  <c r="B13" i="20"/>
  <c r="A13" i="20"/>
  <c r="T12" i="20"/>
  <c r="L12" i="20"/>
  <c r="G12" i="20"/>
  <c r="B12" i="20"/>
  <c r="A12" i="20"/>
  <c r="T11" i="20"/>
  <c r="K11" i="20"/>
  <c r="J11" i="20"/>
  <c r="I11" i="20"/>
  <c r="D11" i="20"/>
  <c r="B11" i="20"/>
  <c r="A11" i="20"/>
  <c r="T10" i="20"/>
  <c r="K10" i="20"/>
  <c r="J10" i="20"/>
  <c r="I10" i="20"/>
  <c r="D10" i="20"/>
  <c r="B10" i="20"/>
  <c r="A10" i="20"/>
  <c r="T9" i="20"/>
  <c r="K9" i="20"/>
  <c r="I9" i="20"/>
  <c r="D9" i="20"/>
  <c r="B9" i="20"/>
  <c r="A9" i="20"/>
  <c r="T8" i="20"/>
  <c r="L8" i="20"/>
  <c r="K8" i="20"/>
  <c r="I8" i="20"/>
  <c r="G8" i="20"/>
  <c r="D8" i="20"/>
  <c r="B8" i="20"/>
  <c r="A8" i="20"/>
  <c r="T7" i="20"/>
  <c r="L7" i="20"/>
  <c r="K7" i="20"/>
  <c r="I7" i="20"/>
  <c r="G7" i="20"/>
  <c r="D7" i="20"/>
  <c r="B7" i="20"/>
  <c r="A7" i="20"/>
  <c r="T6" i="20"/>
  <c r="K6" i="20"/>
  <c r="J6" i="20"/>
  <c r="D6" i="20"/>
  <c r="B6" i="20"/>
  <c r="A6" i="20"/>
  <c r="T5" i="20"/>
  <c r="L5" i="20"/>
  <c r="K5" i="20"/>
  <c r="J5" i="20"/>
  <c r="D5" i="20"/>
  <c r="B5" i="20"/>
  <c r="A5" i="20"/>
  <c r="T4" i="20"/>
  <c r="K4" i="20"/>
  <c r="J4" i="20"/>
  <c r="I4" i="20"/>
  <c r="D4" i="20"/>
  <c r="B4" i="20"/>
  <c r="A4" i="20"/>
  <c r="T3" i="20"/>
  <c r="Q3" i="20"/>
  <c r="L3" i="20"/>
  <c r="K3" i="20"/>
  <c r="J3" i="20"/>
  <c r="G3" i="20"/>
  <c r="D3" i="20"/>
  <c r="B3" i="20"/>
  <c r="A3" i="20"/>
  <c r="T2" i="20"/>
  <c r="O2" i="20"/>
  <c r="N2" i="20"/>
  <c r="C2" i="20"/>
  <c r="B2" i="20"/>
  <c r="A2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21" i="19"/>
  <c r="T20" i="19"/>
  <c r="N20" i="19"/>
  <c r="C20" i="19"/>
  <c r="B20" i="19"/>
  <c r="A20" i="19"/>
  <c r="T19" i="19"/>
  <c r="N19" i="19"/>
  <c r="C19" i="19"/>
  <c r="B19" i="19"/>
  <c r="A19" i="19"/>
  <c r="T18" i="19"/>
  <c r="N18" i="19"/>
  <c r="C18" i="19"/>
  <c r="B18" i="19"/>
  <c r="A18" i="19"/>
  <c r="T17" i="19"/>
  <c r="R17" i="19"/>
  <c r="B17" i="19"/>
  <c r="A17" i="19"/>
  <c r="T16" i="19"/>
  <c r="R16" i="19"/>
  <c r="L16" i="19"/>
  <c r="K16" i="19"/>
  <c r="J16" i="19"/>
  <c r="I16" i="19"/>
  <c r="B16" i="19"/>
  <c r="A16" i="19"/>
  <c r="T15" i="19"/>
  <c r="R15" i="19"/>
  <c r="P15" i="19"/>
  <c r="K15" i="19"/>
  <c r="J15" i="19"/>
  <c r="I15" i="19"/>
  <c r="B15" i="19"/>
  <c r="A15" i="19"/>
  <c r="T14" i="19"/>
  <c r="R14" i="19"/>
  <c r="Q14" i="19"/>
  <c r="P14" i="19"/>
  <c r="L14" i="19"/>
  <c r="K14" i="19"/>
  <c r="J14" i="19"/>
  <c r="I14" i="19"/>
  <c r="D14" i="19"/>
  <c r="B14" i="19"/>
  <c r="A14" i="19"/>
  <c r="T13" i="19"/>
  <c r="N13" i="19"/>
  <c r="C13" i="19"/>
  <c r="B13" i="19"/>
  <c r="A13" i="19"/>
  <c r="T12" i="19"/>
  <c r="M12" i="19"/>
  <c r="B12" i="19"/>
  <c r="A12" i="19"/>
  <c r="T11" i="19"/>
  <c r="S11" i="19"/>
  <c r="P11" i="19"/>
  <c r="M11" i="19"/>
  <c r="K11" i="19"/>
  <c r="J11" i="19"/>
  <c r="I11" i="19"/>
  <c r="H11" i="19"/>
  <c r="G11" i="19"/>
  <c r="F11" i="19"/>
  <c r="D11" i="19"/>
  <c r="B11" i="19"/>
  <c r="A11" i="19"/>
  <c r="T10" i="19"/>
  <c r="S10" i="19"/>
  <c r="R10" i="19"/>
  <c r="Q10" i="19"/>
  <c r="P10" i="19"/>
  <c r="L10" i="19"/>
  <c r="K10" i="19"/>
  <c r="J10" i="19"/>
  <c r="I10" i="19"/>
  <c r="H10" i="19"/>
  <c r="G10" i="19"/>
  <c r="F10" i="19"/>
  <c r="D10" i="19"/>
  <c r="B10" i="19"/>
  <c r="A10" i="19"/>
  <c r="T9" i="19"/>
  <c r="K9" i="19"/>
  <c r="J9" i="19"/>
  <c r="B9" i="19"/>
  <c r="A9" i="19"/>
  <c r="T8" i="19"/>
  <c r="K8" i="19"/>
  <c r="J8" i="19"/>
  <c r="I8" i="19"/>
  <c r="B8" i="19"/>
  <c r="A8" i="19"/>
  <c r="T7" i="19"/>
  <c r="M7" i="19"/>
  <c r="K7" i="19"/>
  <c r="J7" i="19"/>
  <c r="I7" i="19"/>
  <c r="D7" i="19"/>
  <c r="B7" i="19"/>
  <c r="A7" i="19"/>
  <c r="T6" i="19"/>
  <c r="O6" i="19"/>
  <c r="N6" i="19"/>
  <c r="C6" i="19"/>
  <c r="B6" i="19"/>
  <c r="A6" i="19"/>
  <c r="T5" i="19"/>
  <c r="S5" i="19"/>
  <c r="R5" i="19"/>
  <c r="Q5" i="19"/>
  <c r="P5" i="19"/>
  <c r="O5" i="19"/>
  <c r="N5" i="19"/>
  <c r="M5" i="19"/>
  <c r="L5" i="19"/>
  <c r="K5" i="19"/>
  <c r="J5" i="19"/>
  <c r="I5" i="19"/>
  <c r="G5" i="19"/>
  <c r="F5" i="19"/>
  <c r="E5" i="19"/>
  <c r="C5" i="19"/>
  <c r="B5" i="19"/>
  <c r="A5" i="19"/>
  <c r="T4" i="19"/>
  <c r="S4" i="19"/>
  <c r="R4" i="19"/>
  <c r="Q4" i="19"/>
  <c r="P4" i="19"/>
  <c r="O4" i="19"/>
  <c r="N4" i="19"/>
  <c r="M4" i="19"/>
  <c r="L4" i="19"/>
  <c r="K4" i="19"/>
  <c r="J4" i="19"/>
  <c r="I4" i="19"/>
  <c r="G4" i="19"/>
  <c r="F4" i="19"/>
  <c r="E4" i="19"/>
  <c r="D4" i="19"/>
  <c r="C4" i="19"/>
  <c r="B4" i="19"/>
  <c r="A4" i="19"/>
  <c r="T3" i="19"/>
  <c r="S3" i="19"/>
  <c r="R3" i="19"/>
  <c r="Q3" i="19"/>
  <c r="P3" i="19"/>
  <c r="O3" i="19"/>
  <c r="N3" i="19"/>
  <c r="M3" i="19"/>
  <c r="L3" i="19"/>
  <c r="K3" i="19"/>
  <c r="J3" i="19"/>
  <c r="I3" i="19"/>
  <c r="G3" i="19"/>
  <c r="F3" i="19"/>
  <c r="E3" i="19"/>
  <c r="D3" i="19"/>
  <c r="C3" i="19"/>
  <c r="B3" i="19"/>
  <c r="A3" i="19"/>
  <c r="T2" i="19"/>
  <c r="S2" i="19"/>
  <c r="R2" i="19"/>
  <c r="Q2" i="19"/>
  <c r="P2" i="19"/>
  <c r="O2" i="19"/>
  <c r="N2" i="19"/>
  <c r="M2" i="19"/>
  <c r="L2" i="19"/>
  <c r="K2" i="19"/>
  <c r="J2" i="19"/>
  <c r="I2" i="19"/>
  <c r="G2" i="19"/>
  <c r="F2" i="19"/>
  <c r="E2" i="19"/>
  <c r="D2" i="19"/>
  <c r="C2" i="19"/>
  <c r="B2" i="19"/>
  <c r="A2" i="19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A100" i="18"/>
  <c r="T99" i="18"/>
  <c r="N99" i="18"/>
  <c r="C99" i="18"/>
  <c r="B99" i="18"/>
  <c r="A99" i="18"/>
  <c r="T98" i="18"/>
  <c r="N98" i="18"/>
  <c r="C98" i="18"/>
  <c r="B98" i="18"/>
  <c r="A98" i="18"/>
  <c r="T97" i="18"/>
  <c r="N97" i="18"/>
  <c r="C97" i="18"/>
  <c r="B97" i="18"/>
  <c r="A97" i="18"/>
  <c r="T96" i="18"/>
  <c r="Q96" i="18"/>
  <c r="G96" i="18"/>
  <c r="B96" i="18"/>
  <c r="A96" i="18"/>
  <c r="T95" i="18"/>
  <c r="K95" i="18"/>
  <c r="J95" i="18"/>
  <c r="D95" i="18"/>
  <c r="B95" i="18"/>
  <c r="A95" i="18"/>
  <c r="T94" i="18"/>
  <c r="K94" i="18"/>
  <c r="J94" i="18"/>
  <c r="D94" i="18"/>
  <c r="B94" i="18"/>
  <c r="A94" i="18"/>
  <c r="T93" i="18"/>
  <c r="K93" i="18"/>
  <c r="J93" i="18"/>
  <c r="D93" i="18"/>
  <c r="B93" i="18"/>
  <c r="A93" i="18"/>
  <c r="T92" i="18"/>
  <c r="K92" i="18"/>
  <c r="J92" i="18"/>
  <c r="D92" i="18"/>
  <c r="B92" i="18"/>
  <c r="A92" i="18"/>
  <c r="T91" i="18"/>
  <c r="K91" i="18"/>
  <c r="J91" i="18"/>
  <c r="D91" i="18"/>
  <c r="B91" i="18"/>
  <c r="A91" i="18"/>
  <c r="T90" i="18"/>
  <c r="K90" i="18"/>
  <c r="J90" i="18"/>
  <c r="D90" i="18"/>
  <c r="B90" i="18"/>
  <c r="A90" i="18"/>
  <c r="T89" i="18"/>
  <c r="K89" i="18"/>
  <c r="J89" i="18"/>
  <c r="D89" i="18"/>
  <c r="B89" i="18"/>
  <c r="A89" i="18"/>
  <c r="T88" i="18"/>
  <c r="K88" i="18"/>
  <c r="J88" i="18"/>
  <c r="D88" i="18"/>
  <c r="B88" i="18"/>
  <c r="A88" i="18"/>
  <c r="T87" i="18"/>
  <c r="K87" i="18"/>
  <c r="J87" i="18"/>
  <c r="D87" i="18"/>
  <c r="B87" i="18"/>
  <c r="A87" i="18"/>
  <c r="T86" i="18"/>
  <c r="L86" i="18"/>
  <c r="G86" i="18"/>
  <c r="B86" i="18"/>
  <c r="A86" i="18"/>
  <c r="T85" i="18"/>
  <c r="K85" i="18"/>
  <c r="J85" i="18"/>
  <c r="D85" i="18"/>
  <c r="B85" i="18"/>
  <c r="A85" i="18"/>
  <c r="T84" i="18"/>
  <c r="K84" i="18"/>
  <c r="J84" i="18"/>
  <c r="D84" i="18"/>
  <c r="B84" i="18"/>
  <c r="A84" i="18"/>
  <c r="T83" i="18"/>
  <c r="K83" i="18"/>
  <c r="J83" i="18"/>
  <c r="D83" i="18"/>
  <c r="B83" i="18"/>
  <c r="A83" i="18"/>
  <c r="T82" i="18"/>
  <c r="K82" i="18"/>
  <c r="J82" i="18"/>
  <c r="D82" i="18"/>
  <c r="B82" i="18"/>
  <c r="A82" i="18"/>
  <c r="T81" i="18"/>
  <c r="K81" i="18"/>
  <c r="J81" i="18"/>
  <c r="D81" i="18"/>
  <c r="B81" i="18"/>
  <c r="A81" i="18"/>
  <c r="T80" i="18"/>
  <c r="K80" i="18"/>
  <c r="J80" i="18"/>
  <c r="D80" i="18"/>
  <c r="B80" i="18"/>
  <c r="A80" i="18"/>
  <c r="T79" i="18"/>
  <c r="K79" i="18"/>
  <c r="J79" i="18"/>
  <c r="D79" i="18"/>
  <c r="B79" i="18"/>
  <c r="A79" i="18"/>
  <c r="T78" i="18"/>
  <c r="K78" i="18"/>
  <c r="J78" i="18"/>
  <c r="D78" i="18"/>
  <c r="B78" i="18"/>
  <c r="A78" i="18"/>
  <c r="T77" i="18"/>
  <c r="K77" i="18"/>
  <c r="J77" i="18"/>
  <c r="D77" i="18"/>
  <c r="B77" i="18"/>
  <c r="A77" i="18"/>
  <c r="T76" i="18"/>
  <c r="K76" i="18"/>
  <c r="J76" i="18"/>
  <c r="D76" i="18"/>
  <c r="B76" i="18"/>
  <c r="A76" i="18"/>
  <c r="T75" i="18"/>
  <c r="K75" i="18"/>
  <c r="J75" i="18"/>
  <c r="D75" i="18"/>
  <c r="B75" i="18"/>
  <c r="A75" i="18"/>
  <c r="T74" i="18"/>
  <c r="K74" i="18"/>
  <c r="J74" i="18"/>
  <c r="D74" i="18"/>
  <c r="B74" i="18"/>
  <c r="A74" i="18"/>
  <c r="T73" i="18"/>
  <c r="K73" i="18"/>
  <c r="J73" i="18"/>
  <c r="D73" i="18"/>
  <c r="B73" i="18"/>
  <c r="A73" i="18"/>
  <c r="T72" i="18"/>
  <c r="K72" i="18"/>
  <c r="J72" i="18"/>
  <c r="D72" i="18"/>
  <c r="B72" i="18"/>
  <c r="A72" i="18"/>
  <c r="T71" i="18"/>
  <c r="K71" i="18"/>
  <c r="J71" i="18"/>
  <c r="D71" i="18"/>
  <c r="B71" i="18"/>
  <c r="A71" i="18"/>
  <c r="T70" i="18"/>
  <c r="K70" i="18"/>
  <c r="J70" i="18"/>
  <c r="D70" i="18"/>
  <c r="B70" i="18"/>
  <c r="A70" i="18"/>
  <c r="T69" i="18"/>
  <c r="H69" i="18"/>
  <c r="B69" i="18"/>
  <c r="A69" i="18"/>
  <c r="T68" i="18"/>
  <c r="R68" i="18"/>
  <c r="B68" i="18"/>
  <c r="A68" i="18"/>
  <c r="T67" i="18"/>
  <c r="R67" i="18"/>
  <c r="B67" i="18"/>
  <c r="A67" i="18"/>
  <c r="T66" i="18"/>
  <c r="R66" i="18"/>
  <c r="B66" i="18"/>
  <c r="A66" i="18"/>
  <c r="T65" i="18"/>
  <c r="P65" i="18"/>
  <c r="K65" i="18"/>
  <c r="D65" i="18"/>
  <c r="B65" i="18"/>
  <c r="A65" i="18"/>
  <c r="T64" i="18"/>
  <c r="S64" i="18"/>
  <c r="B64" i="18"/>
  <c r="A64" i="18"/>
  <c r="T63" i="18"/>
  <c r="K63" i="18"/>
  <c r="J63" i="18"/>
  <c r="D63" i="18"/>
  <c r="B63" i="18"/>
  <c r="A63" i="18"/>
  <c r="T62" i="18"/>
  <c r="K62" i="18"/>
  <c r="J62" i="18"/>
  <c r="D62" i="18"/>
  <c r="B62" i="18"/>
  <c r="A62" i="18"/>
  <c r="T61" i="18"/>
  <c r="K61" i="18"/>
  <c r="J61" i="18"/>
  <c r="D61" i="18"/>
  <c r="B61" i="18"/>
  <c r="A61" i="18"/>
  <c r="T60" i="18"/>
  <c r="K60" i="18"/>
  <c r="J60" i="18"/>
  <c r="D60" i="18"/>
  <c r="B60" i="18"/>
  <c r="A60" i="18"/>
  <c r="T59" i="18"/>
  <c r="K59" i="18"/>
  <c r="J59" i="18"/>
  <c r="D59" i="18"/>
  <c r="B59" i="18"/>
  <c r="A59" i="18"/>
  <c r="T58" i="18"/>
  <c r="K58" i="18"/>
  <c r="J58" i="18"/>
  <c r="D58" i="18"/>
  <c r="B58" i="18"/>
  <c r="A58" i="18"/>
  <c r="T57" i="18"/>
  <c r="K57" i="18"/>
  <c r="J57" i="18"/>
  <c r="D57" i="18"/>
  <c r="B57" i="18"/>
  <c r="A57" i="18"/>
  <c r="T56" i="18"/>
  <c r="K56" i="18"/>
  <c r="J56" i="18"/>
  <c r="D56" i="18"/>
  <c r="B56" i="18"/>
  <c r="A56" i="18"/>
  <c r="T55" i="18"/>
  <c r="K55" i="18"/>
  <c r="J55" i="18"/>
  <c r="D55" i="18"/>
  <c r="B55" i="18"/>
  <c r="A55" i="18"/>
  <c r="T54" i="18"/>
  <c r="K54" i="18"/>
  <c r="J54" i="18"/>
  <c r="D54" i="18"/>
  <c r="B54" i="18"/>
  <c r="A54" i="18"/>
  <c r="T53" i="18"/>
  <c r="K53" i="18"/>
  <c r="J53" i="18"/>
  <c r="D53" i="18"/>
  <c r="B53" i="18"/>
  <c r="A53" i="18"/>
  <c r="T52" i="18"/>
  <c r="K52" i="18"/>
  <c r="J52" i="18"/>
  <c r="D52" i="18"/>
  <c r="B52" i="18"/>
  <c r="A52" i="18"/>
  <c r="T51" i="18"/>
  <c r="K51" i="18"/>
  <c r="J51" i="18"/>
  <c r="D51" i="18"/>
  <c r="B51" i="18"/>
  <c r="A51" i="18"/>
  <c r="T50" i="18"/>
  <c r="K50" i="18"/>
  <c r="J50" i="18"/>
  <c r="D50" i="18"/>
  <c r="B50" i="18"/>
  <c r="A50" i="18"/>
  <c r="T49" i="18"/>
  <c r="K49" i="18"/>
  <c r="J49" i="18"/>
  <c r="D49" i="18"/>
  <c r="B49" i="18"/>
  <c r="A49" i="18"/>
  <c r="T48" i="18"/>
  <c r="K48" i="18"/>
  <c r="J48" i="18"/>
  <c r="D48" i="18"/>
  <c r="B48" i="18"/>
  <c r="A48" i="18"/>
  <c r="T47" i="18"/>
  <c r="K47" i="18"/>
  <c r="J47" i="18"/>
  <c r="D47" i="18"/>
  <c r="B47" i="18"/>
  <c r="A47" i="18"/>
  <c r="T46" i="18"/>
  <c r="K46" i="18"/>
  <c r="J46" i="18"/>
  <c r="D46" i="18"/>
  <c r="B46" i="18"/>
  <c r="A46" i="18"/>
  <c r="T45" i="18"/>
  <c r="K45" i="18"/>
  <c r="J45" i="18"/>
  <c r="D45" i="18"/>
  <c r="B45" i="18"/>
  <c r="A45" i="18"/>
  <c r="T44" i="18"/>
  <c r="K44" i="18"/>
  <c r="J44" i="18"/>
  <c r="D44" i="18"/>
  <c r="B44" i="18"/>
  <c r="A44" i="18"/>
  <c r="T43" i="18"/>
  <c r="K43" i="18"/>
  <c r="J43" i="18"/>
  <c r="D43" i="18"/>
  <c r="B43" i="18"/>
  <c r="A43" i="18"/>
  <c r="T42" i="18"/>
  <c r="K42" i="18"/>
  <c r="J42" i="18"/>
  <c r="D42" i="18"/>
  <c r="B42" i="18"/>
  <c r="A42" i="18"/>
  <c r="T41" i="18"/>
  <c r="K41" i="18"/>
  <c r="J41" i="18"/>
  <c r="D41" i="18"/>
  <c r="B41" i="18"/>
  <c r="A41" i="18"/>
  <c r="T40" i="18"/>
  <c r="K40" i="18"/>
  <c r="J40" i="18"/>
  <c r="D40" i="18"/>
  <c r="B40" i="18"/>
  <c r="A40" i="18"/>
  <c r="T39" i="18"/>
  <c r="K39" i="18"/>
  <c r="J39" i="18"/>
  <c r="D39" i="18"/>
  <c r="B39" i="18"/>
  <c r="A39" i="18"/>
  <c r="T38" i="18"/>
  <c r="K38" i="18"/>
  <c r="J38" i="18"/>
  <c r="D38" i="18"/>
  <c r="B38" i="18"/>
  <c r="A38" i="18"/>
  <c r="T37" i="18"/>
  <c r="K37" i="18"/>
  <c r="J37" i="18"/>
  <c r="D37" i="18"/>
  <c r="B37" i="18"/>
  <c r="A37" i="18"/>
  <c r="T36" i="18"/>
  <c r="K36" i="18"/>
  <c r="J36" i="18"/>
  <c r="D36" i="18"/>
  <c r="B36" i="18"/>
  <c r="A36" i="18"/>
  <c r="T35" i="18"/>
  <c r="K35" i="18"/>
  <c r="J35" i="18"/>
  <c r="D35" i="18"/>
  <c r="B35" i="18"/>
  <c r="A35" i="18"/>
  <c r="T34" i="18"/>
  <c r="K34" i="18"/>
  <c r="J34" i="18"/>
  <c r="D34" i="18"/>
  <c r="B34" i="18"/>
  <c r="A34" i="18"/>
  <c r="T33" i="18"/>
  <c r="K33" i="18"/>
  <c r="J33" i="18"/>
  <c r="D33" i="18"/>
  <c r="B33" i="18"/>
  <c r="A33" i="18"/>
  <c r="T32" i="18"/>
  <c r="K32" i="18"/>
  <c r="J32" i="18"/>
  <c r="D32" i="18"/>
  <c r="B32" i="18"/>
  <c r="A32" i="18"/>
  <c r="T31" i="18"/>
  <c r="K31" i="18"/>
  <c r="J31" i="18"/>
  <c r="D31" i="18"/>
  <c r="B31" i="18"/>
  <c r="A31" i="18"/>
  <c r="T30" i="18"/>
  <c r="K30" i="18"/>
  <c r="J30" i="18"/>
  <c r="D30" i="18"/>
  <c r="B30" i="18"/>
  <c r="A30" i="18"/>
  <c r="T29" i="18"/>
  <c r="K29" i="18"/>
  <c r="J29" i="18"/>
  <c r="D29" i="18"/>
  <c r="B29" i="18"/>
  <c r="A29" i="18"/>
  <c r="T28" i="18"/>
  <c r="K28" i="18"/>
  <c r="J28" i="18"/>
  <c r="D28" i="18"/>
  <c r="B28" i="18"/>
  <c r="A28" i="18"/>
  <c r="T27" i="18"/>
  <c r="K27" i="18"/>
  <c r="J27" i="18"/>
  <c r="D27" i="18"/>
  <c r="B27" i="18"/>
  <c r="A27" i="18"/>
  <c r="T26" i="18"/>
  <c r="K26" i="18"/>
  <c r="J26" i="18"/>
  <c r="D26" i="18"/>
  <c r="B26" i="18"/>
  <c r="A26" i="18"/>
  <c r="T25" i="18"/>
  <c r="K25" i="18"/>
  <c r="J25" i="18"/>
  <c r="D25" i="18"/>
  <c r="B25" i="18"/>
  <c r="A25" i="18"/>
  <c r="T24" i="18"/>
  <c r="K24" i="18"/>
  <c r="J24" i="18"/>
  <c r="D24" i="18"/>
  <c r="B24" i="18"/>
  <c r="A24" i="18"/>
  <c r="T23" i="18"/>
  <c r="K23" i="18"/>
  <c r="J23" i="18"/>
  <c r="D23" i="18"/>
  <c r="B23" i="18"/>
  <c r="A23" i="18"/>
  <c r="T22" i="18"/>
  <c r="K22" i="18"/>
  <c r="J22" i="18"/>
  <c r="D22" i="18"/>
  <c r="B22" i="18"/>
  <c r="A22" i="18"/>
  <c r="T21" i="18"/>
  <c r="K21" i="18"/>
  <c r="J21" i="18"/>
  <c r="D21" i="18"/>
  <c r="B21" i="18"/>
  <c r="A21" i="18"/>
  <c r="T20" i="18"/>
  <c r="K20" i="18"/>
  <c r="J20" i="18"/>
  <c r="D20" i="18"/>
  <c r="B20" i="18"/>
  <c r="A20" i="18"/>
  <c r="T19" i="18"/>
  <c r="K19" i="18"/>
  <c r="J19" i="18"/>
  <c r="D19" i="18"/>
  <c r="B19" i="18"/>
  <c r="A19" i="18"/>
  <c r="T18" i="18"/>
  <c r="K18" i="18"/>
  <c r="J18" i="18"/>
  <c r="D18" i="18"/>
  <c r="B18" i="18"/>
  <c r="A18" i="18"/>
  <c r="T17" i="18"/>
  <c r="K17" i="18"/>
  <c r="J17" i="18"/>
  <c r="D17" i="18"/>
  <c r="B17" i="18"/>
  <c r="A17" i="18"/>
  <c r="T16" i="18"/>
  <c r="K16" i="18"/>
  <c r="J16" i="18"/>
  <c r="D16" i="18"/>
  <c r="B16" i="18"/>
  <c r="A16" i="18"/>
  <c r="T15" i="18"/>
  <c r="K15" i="18"/>
  <c r="J15" i="18"/>
  <c r="D15" i="18"/>
  <c r="B15" i="18"/>
  <c r="A15" i="18"/>
  <c r="T14" i="18"/>
  <c r="K14" i="18"/>
  <c r="J14" i="18"/>
  <c r="D14" i="18"/>
  <c r="B14" i="18"/>
  <c r="A14" i="18"/>
  <c r="T13" i="18"/>
  <c r="K13" i="18"/>
  <c r="J13" i="18"/>
  <c r="D13" i="18"/>
  <c r="B13" i="18"/>
  <c r="A13" i="18"/>
  <c r="T12" i="18"/>
  <c r="K12" i="18"/>
  <c r="J12" i="18"/>
  <c r="D12" i="18"/>
  <c r="B12" i="18"/>
  <c r="A12" i="18"/>
  <c r="T11" i="18"/>
  <c r="K11" i="18"/>
  <c r="J11" i="18"/>
  <c r="D11" i="18"/>
  <c r="B11" i="18"/>
  <c r="A11" i="18"/>
  <c r="T10" i="18"/>
  <c r="K10" i="18"/>
  <c r="J10" i="18"/>
  <c r="D10" i="18"/>
  <c r="B10" i="18"/>
  <c r="A10" i="18"/>
  <c r="T9" i="18"/>
  <c r="K9" i="18"/>
  <c r="J9" i="18"/>
  <c r="D9" i="18"/>
  <c r="B9" i="18"/>
  <c r="A9" i="18"/>
  <c r="T8" i="18"/>
  <c r="K8" i="18"/>
  <c r="J8" i="18"/>
  <c r="D8" i="18"/>
  <c r="B8" i="18"/>
  <c r="A8" i="18"/>
  <c r="T7" i="18"/>
  <c r="K7" i="18"/>
  <c r="J7" i="18"/>
  <c r="D7" i="18"/>
  <c r="B7" i="18"/>
  <c r="A7" i="18"/>
  <c r="T6" i="18"/>
  <c r="K6" i="18"/>
  <c r="J6" i="18"/>
  <c r="D6" i="18"/>
  <c r="B6" i="18"/>
  <c r="A6" i="18"/>
  <c r="T5" i="18"/>
  <c r="K5" i="18"/>
  <c r="J5" i="18"/>
  <c r="D5" i="18"/>
  <c r="B5" i="18"/>
  <c r="A5" i="18"/>
  <c r="T4" i="18"/>
  <c r="M4" i="18"/>
  <c r="L4" i="18"/>
  <c r="F4" i="18"/>
  <c r="B4" i="18"/>
  <c r="A4" i="18"/>
  <c r="T3" i="18"/>
  <c r="N3" i="18"/>
  <c r="C3" i="18"/>
  <c r="B3" i="18"/>
  <c r="A3" i="18"/>
  <c r="T2" i="18"/>
  <c r="O2" i="18"/>
  <c r="N2" i="18"/>
  <c r="C2" i="18"/>
  <c r="B2" i="18"/>
  <c r="A2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A1" i="18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T9" i="17"/>
  <c r="N9" i="17"/>
  <c r="C9" i="17"/>
  <c r="B9" i="17"/>
  <c r="A9" i="17"/>
  <c r="T8" i="17"/>
  <c r="N8" i="17"/>
  <c r="C8" i="17"/>
  <c r="B8" i="17"/>
  <c r="A8" i="17"/>
  <c r="T7" i="17"/>
  <c r="R7" i="17"/>
  <c r="B7" i="17"/>
  <c r="A7" i="17"/>
  <c r="T6" i="17"/>
  <c r="R6" i="17"/>
  <c r="H6" i="17"/>
  <c r="G6" i="17"/>
  <c r="D6" i="17"/>
  <c r="B6" i="17"/>
  <c r="A6" i="17"/>
  <c r="T5" i="17"/>
  <c r="N5" i="17"/>
  <c r="C5" i="17"/>
  <c r="B5" i="17"/>
  <c r="A5" i="17"/>
  <c r="T4" i="17"/>
  <c r="S4" i="17"/>
  <c r="R4" i="17"/>
  <c r="Q4" i="17"/>
  <c r="P4" i="17"/>
  <c r="M4" i="17"/>
  <c r="L4" i="17"/>
  <c r="K4" i="17"/>
  <c r="J4" i="17"/>
  <c r="I4" i="17"/>
  <c r="H4" i="17"/>
  <c r="G4" i="17"/>
  <c r="F4" i="17"/>
  <c r="D4" i="17"/>
  <c r="B4" i="17"/>
  <c r="A4" i="17"/>
  <c r="T3" i="17"/>
  <c r="N3" i="17"/>
  <c r="C3" i="17"/>
  <c r="B3" i="17"/>
  <c r="A3" i="17"/>
  <c r="T2" i="17"/>
  <c r="O2" i="17"/>
  <c r="N2" i="17"/>
  <c r="C2" i="17"/>
  <c r="B2" i="17"/>
  <c r="A2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T45" i="16"/>
  <c r="M45" i="16"/>
  <c r="B45" i="16"/>
  <c r="A45" i="16"/>
  <c r="T44" i="16"/>
  <c r="K44" i="16"/>
  <c r="J44" i="16"/>
  <c r="I44" i="16"/>
  <c r="D44" i="16"/>
  <c r="B44" i="16"/>
  <c r="A44" i="16"/>
  <c r="T43" i="16"/>
  <c r="K43" i="16"/>
  <c r="J43" i="16"/>
  <c r="I43" i="16"/>
  <c r="D43" i="16"/>
  <c r="B43" i="16"/>
  <c r="A43" i="16"/>
  <c r="T42" i="16"/>
  <c r="K42" i="16"/>
  <c r="J42" i="16"/>
  <c r="D42" i="16"/>
  <c r="B42" i="16"/>
  <c r="A42" i="16"/>
  <c r="T41" i="16"/>
  <c r="K41" i="16"/>
  <c r="J41" i="16"/>
  <c r="I41" i="16"/>
  <c r="D41" i="16"/>
  <c r="B41" i="16"/>
  <c r="A41" i="16"/>
  <c r="T40" i="16"/>
  <c r="K40" i="16"/>
  <c r="J40" i="16"/>
  <c r="I40" i="16"/>
  <c r="D40" i="16"/>
  <c r="B40" i="16"/>
  <c r="A40" i="16"/>
  <c r="T39" i="16"/>
  <c r="R39" i="16"/>
  <c r="K39" i="16"/>
  <c r="J39" i="16"/>
  <c r="I39" i="16"/>
  <c r="D39" i="16"/>
  <c r="B39" i="16"/>
  <c r="A39" i="16"/>
  <c r="T38" i="16"/>
  <c r="R38" i="16"/>
  <c r="B38" i="16"/>
  <c r="A38" i="16"/>
  <c r="T37" i="16"/>
  <c r="R37" i="16"/>
  <c r="B37" i="16"/>
  <c r="A37" i="16"/>
  <c r="T36" i="16"/>
  <c r="S36" i="16"/>
  <c r="B36" i="16"/>
  <c r="A36" i="16"/>
  <c r="T35" i="16"/>
  <c r="L35" i="16"/>
  <c r="G35" i="16"/>
  <c r="B35" i="16"/>
  <c r="A35" i="16"/>
  <c r="T34" i="16"/>
  <c r="R34" i="16"/>
  <c r="B34" i="16"/>
  <c r="A34" i="16"/>
  <c r="T33" i="16"/>
  <c r="H33" i="16"/>
  <c r="B33" i="16"/>
  <c r="A33" i="16"/>
  <c r="T32" i="16"/>
  <c r="R32" i="16"/>
  <c r="P32" i="16"/>
  <c r="K32" i="16"/>
  <c r="J32" i="16"/>
  <c r="I32" i="16"/>
  <c r="D32" i="16"/>
  <c r="B32" i="16"/>
  <c r="A32" i="16"/>
  <c r="T31" i="16"/>
  <c r="R31" i="16"/>
  <c r="B31" i="16"/>
  <c r="A31" i="16"/>
  <c r="T30" i="16"/>
  <c r="K30" i="16"/>
  <c r="J30" i="16"/>
  <c r="D30" i="16"/>
  <c r="B30" i="16"/>
  <c r="A30" i="16"/>
  <c r="T29" i="16"/>
  <c r="R29" i="16"/>
  <c r="K29" i="16"/>
  <c r="J29" i="16"/>
  <c r="I29" i="16"/>
  <c r="D29" i="16"/>
  <c r="B29" i="16"/>
  <c r="A29" i="16"/>
  <c r="T28" i="16"/>
  <c r="K28" i="16"/>
  <c r="J28" i="16"/>
  <c r="I28" i="16"/>
  <c r="D28" i="16"/>
  <c r="B28" i="16"/>
  <c r="A28" i="16"/>
  <c r="T27" i="16"/>
  <c r="K27" i="16"/>
  <c r="J27" i="16"/>
  <c r="I27" i="16"/>
  <c r="D27" i="16"/>
  <c r="B27" i="16"/>
  <c r="A27" i="16"/>
  <c r="T26" i="16"/>
  <c r="R26" i="16"/>
  <c r="P26" i="16"/>
  <c r="K26" i="16"/>
  <c r="J26" i="16"/>
  <c r="I26" i="16"/>
  <c r="D26" i="16"/>
  <c r="B26" i="16"/>
  <c r="A26" i="16"/>
  <c r="T25" i="16"/>
  <c r="K25" i="16"/>
  <c r="J25" i="16"/>
  <c r="D25" i="16"/>
  <c r="B25" i="16"/>
  <c r="A25" i="16"/>
  <c r="T24" i="16"/>
  <c r="K24" i="16"/>
  <c r="J24" i="16"/>
  <c r="I24" i="16"/>
  <c r="D24" i="16"/>
  <c r="B24" i="16"/>
  <c r="A24" i="16"/>
  <c r="T23" i="16"/>
  <c r="K23" i="16"/>
  <c r="J23" i="16"/>
  <c r="I23" i="16"/>
  <c r="D23" i="16"/>
  <c r="B23" i="16"/>
  <c r="A23" i="16"/>
  <c r="T22" i="16"/>
  <c r="K22" i="16"/>
  <c r="J22" i="16"/>
  <c r="I22" i="16"/>
  <c r="D22" i="16"/>
  <c r="B22" i="16"/>
  <c r="A22" i="16"/>
  <c r="T21" i="16"/>
  <c r="N21" i="16"/>
  <c r="C21" i="16"/>
  <c r="B21" i="16"/>
  <c r="A21" i="16"/>
  <c r="T20" i="16"/>
  <c r="N20" i="16"/>
  <c r="C20" i="16"/>
  <c r="B20" i="16"/>
  <c r="A20" i="16"/>
  <c r="T19" i="16"/>
  <c r="N19" i="16"/>
  <c r="C19" i="16"/>
  <c r="B19" i="16"/>
  <c r="A19" i="16"/>
  <c r="T18" i="16"/>
  <c r="R18" i="16"/>
  <c r="B18" i="16"/>
  <c r="A18" i="16"/>
  <c r="T17" i="16"/>
  <c r="R17" i="16"/>
  <c r="K17" i="16"/>
  <c r="J17" i="16"/>
  <c r="I17" i="16"/>
  <c r="D17" i="16"/>
  <c r="B17" i="16"/>
  <c r="A17" i="16"/>
  <c r="T16" i="16"/>
  <c r="K16" i="16"/>
  <c r="J16" i="16"/>
  <c r="I16" i="16"/>
  <c r="D16" i="16"/>
  <c r="B16" i="16"/>
  <c r="A16" i="16"/>
  <c r="T15" i="16"/>
  <c r="K15" i="16"/>
  <c r="J15" i="16"/>
  <c r="I15" i="16"/>
  <c r="D15" i="16"/>
  <c r="B15" i="16"/>
  <c r="A15" i="16"/>
  <c r="T14" i="16"/>
  <c r="R14" i="16"/>
  <c r="P14" i="16"/>
  <c r="K14" i="16"/>
  <c r="I14" i="16"/>
  <c r="D14" i="16"/>
  <c r="B14" i="16"/>
  <c r="A14" i="16"/>
  <c r="T13" i="16"/>
  <c r="S13" i="16"/>
  <c r="R13" i="16"/>
  <c r="L13" i="16"/>
  <c r="H13" i="16"/>
  <c r="G13" i="16"/>
  <c r="F13" i="16"/>
  <c r="B13" i="16"/>
  <c r="A13" i="16"/>
  <c r="T12" i="16"/>
  <c r="H12" i="16"/>
  <c r="G12" i="16"/>
  <c r="B12" i="16"/>
  <c r="A12" i="16"/>
  <c r="T11" i="16"/>
  <c r="K11" i="16"/>
  <c r="J11" i="16"/>
  <c r="I11" i="16"/>
  <c r="D11" i="16"/>
  <c r="B11" i="16"/>
  <c r="A11" i="16"/>
  <c r="T10" i="16"/>
  <c r="K10" i="16"/>
  <c r="J10" i="16"/>
  <c r="I10" i="16"/>
  <c r="D10" i="16"/>
  <c r="B10" i="16"/>
  <c r="A10" i="16"/>
  <c r="T9" i="16"/>
  <c r="N9" i="16"/>
  <c r="C9" i="16"/>
  <c r="B9" i="16"/>
  <c r="A9" i="16"/>
  <c r="T8" i="16"/>
  <c r="K8" i="16"/>
  <c r="J8" i="16"/>
  <c r="I8" i="16"/>
  <c r="D8" i="16"/>
  <c r="B8" i="16"/>
  <c r="A8" i="16"/>
  <c r="T7" i="16"/>
  <c r="K7" i="16"/>
  <c r="J7" i="16"/>
  <c r="I7" i="16"/>
  <c r="D7" i="16"/>
  <c r="B7" i="16"/>
  <c r="A7" i="16"/>
  <c r="T6" i="16"/>
  <c r="K6" i="16"/>
  <c r="J6" i="16"/>
  <c r="I6" i="16"/>
  <c r="D6" i="16"/>
  <c r="B6" i="16"/>
  <c r="A6" i="16"/>
  <c r="T5" i="16"/>
  <c r="K5" i="16"/>
  <c r="J5" i="16"/>
  <c r="I5" i="16"/>
  <c r="D5" i="16"/>
  <c r="B5" i="16"/>
  <c r="A5" i="16"/>
  <c r="T4" i="16"/>
  <c r="K4" i="16"/>
  <c r="J4" i="16"/>
  <c r="I4" i="16"/>
  <c r="D4" i="16"/>
  <c r="B4" i="16"/>
  <c r="A4" i="16"/>
  <c r="T3" i="16"/>
  <c r="S3" i="16"/>
  <c r="R3" i="16"/>
  <c r="M3" i="16"/>
  <c r="L3" i="16"/>
  <c r="H3" i="16"/>
  <c r="G3" i="16"/>
  <c r="F3" i="16"/>
  <c r="B3" i="16"/>
  <c r="A3" i="16"/>
  <c r="T2" i="16"/>
  <c r="O2" i="16"/>
  <c r="N2" i="16"/>
  <c r="C2" i="16"/>
  <c r="B2" i="16"/>
  <c r="A2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A1" i="16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N13" i="15"/>
  <c r="C13" i="15"/>
  <c r="B13" i="15"/>
  <c r="A13" i="15"/>
  <c r="T12" i="15"/>
  <c r="N12" i="15"/>
  <c r="C12" i="15"/>
  <c r="B12" i="15"/>
  <c r="A12" i="15"/>
  <c r="T11" i="15"/>
  <c r="C11" i="15"/>
  <c r="B11" i="15"/>
  <c r="A11" i="15"/>
  <c r="T10" i="15"/>
  <c r="C10" i="15"/>
  <c r="B10" i="15"/>
  <c r="A10" i="15"/>
  <c r="T9" i="15"/>
  <c r="N9" i="15"/>
  <c r="C9" i="15"/>
  <c r="B9" i="15"/>
  <c r="A9" i="15"/>
  <c r="T8" i="15"/>
  <c r="K8" i="15"/>
  <c r="J8" i="15"/>
  <c r="I8" i="15"/>
  <c r="B8" i="15"/>
  <c r="A8" i="15"/>
  <c r="T7" i="15"/>
  <c r="K7" i="15"/>
  <c r="J7" i="15"/>
  <c r="I7" i="15"/>
  <c r="B7" i="15"/>
  <c r="A7" i="15"/>
  <c r="T6" i="15"/>
  <c r="K6" i="15"/>
  <c r="J6" i="15"/>
  <c r="I6" i="15"/>
  <c r="B6" i="15"/>
  <c r="A6" i="15"/>
  <c r="T5" i="15"/>
  <c r="S5" i="15"/>
  <c r="R5" i="15"/>
  <c r="H5" i="15"/>
  <c r="G5" i="15"/>
  <c r="D5" i="15"/>
  <c r="B5" i="15"/>
  <c r="A5" i="15"/>
  <c r="T4" i="15"/>
  <c r="N4" i="15"/>
  <c r="C4" i="15"/>
  <c r="B4" i="15"/>
  <c r="A4" i="15"/>
  <c r="T3" i="15"/>
  <c r="R3" i="15"/>
  <c r="Q3" i="15"/>
  <c r="L3" i="15"/>
  <c r="H3" i="15"/>
  <c r="G3" i="15"/>
  <c r="D3" i="15"/>
  <c r="B3" i="15"/>
  <c r="A3" i="15"/>
  <c r="T2" i="15"/>
  <c r="O2" i="15"/>
  <c r="N2" i="15"/>
  <c r="C2" i="15"/>
  <c r="B2" i="15"/>
  <c r="A2" i="15"/>
  <c r="AC1" i="15"/>
  <c r="AB1" i="15"/>
  <c r="AA1" i="15"/>
  <c r="Z1" i="15"/>
  <c r="Y1" i="15"/>
  <c r="X1" i="15"/>
  <c r="W1" i="15"/>
  <c r="V1" i="15"/>
  <c r="U1" i="15"/>
  <c r="T1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T40" i="14"/>
  <c r="M40" i="14"/>
  <c r="H40" i="14"/>
  <c r="D40" i="14"/>
  <c r="B40" i="14"/>
  <c r="A40" i="14"/>
  <c r="T39" i="14"/>
  <c r="R39" i="14"/>
  <c r="B39" i="14"/>
  <c r="A39" i="14"/>
  <c r="T38" i="14"/>
  <c r="R38" i="14"/>
  <c r="P38" i="14"/>
  <c r="B38" i="14"/>
  <c r="A38" i="14"/>
  <c r="T37" i="14"/>
  <c r="P37" i="14"/>
  <c r="B37" i="14"/>
  <c r="A37" i="14"/>
  <c r="T36" i="14"/>
  <c r="J36" i="14"/>
  <c r="I36" i="14"/>
  <c r="B36" i="14"/>
  <c r="A36" i="14"/>
  <c r="T35" i="14"/>
  <c r="J35" i="14"/>
  <c r="I35" i="14"/>
  <c r="B35" i="14"/>
  <c r="A35" i="14"/>
  <c r="T34" i="14"/>
  <c r="R34" i="14"/>
  <c r="P34" i="14"/>
  <c r="B34" i="14"/>
  <c r="A34" i="14"/>
  <c r="T33" i="14"/>
  <c r="R33" i="14"/>
  <c r="B33" i="14"/>
  <c r="A33" i="14"/>
  <c r="T32" i="14"/>
  <c r="R32" i="14"/>
  <c r="B32" i="14"/>
  <c r="A32" i="14"/>
  <c r="T31" i="14"/>
  <c r="R31" i="14"/>
  <c r="L31" i="14"/>
  <c r="H31" i="14"/>
  <c r="G31" i="14"/>
  <c r="D31" i="14"/>
  <c r="B31" i="14"/>
  <c r="A31" i="14"/>
  <c r="T30" i="14"/>
  <c r="N30" i="14"/>
  <c r="C30" i="14"/>
  <c r="B30" i="14"/>
  <c r="A30" i="14"/>
  <c r="T29" i="14"/>
  <c r="M29" i="14"/>
  <c r="B29" i="14"/>
  <c r="A29" i="14"/>
  <c r="T28" i="14"/>
  <c r="M28" i="14"/>
  <c r="B28" i="14"/>
  <c r="A28" i="14"/>
  <c r="T27" i="14"/>
  <c r="R27" i="14"/>
  <c r="P27" i="14"/>
  <c r="K27" i="14"/>
  <c r="J27" i="14"/>
  <c r="I27" i="14"/>
  <c r="H27" i="14"/>
  <c r="G27" i="14"/>
  <c r="D27" i="14"/>
  <c r="B27" i="14"/>
  <c r="A27" i="14"/>
  <c r="T26" i="14"/>
  <c r="N26" i="14"/>
  <c r="C26" i="14"/>
  <c r="B26" i="14"/>
  <c r="A26" i="14"/>
  <c r="T25" i="14"/>
  <c r="N25" i="14"/>
  <c r="C25" i="14"/>
  <c r="B25" i="14"/>
  <c r="A25" i="14"/>
  <c r="T24" i="14"/>
  <c r="K24" i="14"/>
  <c r="J24" i="14"/>
  <c r="I24" i="14"/>
  <c r="B24" i="14"/>
  <c r="A24" i="14"/>
  <c r="T23" i="14"/>
  <c r="K23" i="14"/>
  <c r="J23" i="14"/>
  <c r="I23" i="14"/>
  <c r="B23" i="14"/>
  <c r="A23" i="14"/>
  <c r="T22" i="14"/>
  <c r="K22" i="14"/>
  <c r="J22" i="14"/>
  <c r="I22" i="14"/>
  <c r="B22" i="14"/>
  <c r="A22" i="14"/>
  <c r="T21" i="14"/>
  <c r="K21" i="14"/>
  <c r="J21" i="14"/>
  <c r="I21" i="14"/>
  <c r="B21" i="14"/>
  <c r="A21" i="14"/>
  <c r="T20" i="14"/>
  <c r="K20" i="14"/>
  <c r="J20" i="14"/>
  <c r="I20" i="14"/>
  <c r="B20" i="14"/>
  <c r="A20" i="14"/>
  <c r="T19" i="14"/>
  <c r="K19" i="14"/>
  <c r="J19" i="14"/>
  <c r="I19" i="14"/>
  <c r="B19" i="14"/>
  <c r="A19" i="14"/>
  <c r="T18" i="14"/>
  <c r="R18" i="14"/>
  <c r="L18" i="14"/>
  <c r="K18" i="14"/>
  <c r="J18" i="14"/>
  <c r="I18" i="14"/>
  <c r="B18" i="14"/>
  <c r="A18" i="14"/>
  <c r="T17" i="14"/>
  <c r="L17" i="14"/>
  <c r="H17" i="14"/>
  <c r="G17" i="14"/>
  <c r="F17" i="14"/>
  <c r="D17" i="14"/>
  <c r="B17" i="14"/>
  <c r="A17" i="14"/>
  <c r="T16" i="14"/>
  <c r="R16" i="14"/>
  <c r="M16" i="14"/>
  <c r="D16" i="14"/>
  <c r="B16" i="14"/>
  <c r="A16" i="14"/>
  <c r="T15" i="14"/>
  <c r="K15" i="14"/>
  <c r="J15" i="14"/>
  <c r="I15" i="14"/>
  <c r="B15" i="14"/>
  <c r="A15" i="14"/>
  <c r="T14" i="14"/>
  <c r="K14" i="14"/>
  <c r="J14" i="14"/>
  <c r="I14" i="14"/>
  <c r="F14" i="14"/>
  <c r="B14" i="14"/>
  <c r="A14" i="14"/>
  <c r="T13" i="14"/>
  <c r="K13" i="14"/>
  <c r="J13" i="14"/>
  <c r="I13" i="14"/>
  <c r="B13" i="14"/>
  <c r="A13" i="14"/>
  <c r="T12" i="14"/>
  <c r="K12" i="14"/>
  <c r="J12" i="14"/>
  <c r="I12" i="14"/>
  <c r="B12" i="14"/>
  <c r="A12" i="14"/>
  <c r="T11" i="14"/>
  <c r="K11" i="14"/>
  <c r="J11" i="14"/>
  <c r="I11" i="14"/>
  <c r="B11" i="14"/>
  <c r="A11" i="14"/>
  <c r="T10" i="14"/>
  <c r="K10" i="14"/>
  <c r="J10" i="14"/>
  <c r="I10" i="14"/>
  <c r="B10" i="14"/>
  <c r="A10" i="14"/>
  <c r="T9" i="14"/>
  <c r="K9" i="14"/>
  <c r="J9" i="14"/>
  <c r="I9" i="14"/>
  <c r="B9" i="14"/>
  <c r="A9" i="14"/>
  <c r="T8" i="14"/>
  <c r="K8" i="14"/>
  <c r="J8" i="14"/>
  <c r="I8" i="14"/>
  <c r="B8" i="14"/>
  <c r="A8" i="14"/>
  <c r="T7" i="14"/>
  <c r="K7" i="14"/>
  <c r="J7" i="14"/>
  <c r="I7" i="14"/>
  <c r="B7" i="14"/>
  <c r="A7" i="14"/>
  <c r="T6" i="14"/>
  <c r="R6" i="14"/>
  <c r="P6" i="14"/>
  <c r="K6" i="14"/>
  <c r="J6" i="14"/>
  <c r="I6" i="14"/>
  <c r="H6" i="14"/>
  <c r="G6" i="14"/>
  <c r="B6" i="14"/>
  <c r="A6" i="14"/>
  <c r="T5" i="14"/>
  <c r="F5" i="14"/>
  <c r="B5" i="14"/>
  <c r="A5" i="14"/>
  <c r="T4" i="14"/>
  <c r="N4" i="14"/>
  <c r="C4" i="14"/>
  <c r="B4" i="14"/>
  <c r="A4" i="14"/>
  <c r="T3" i="14"/>
  <c r="S3" i="14"/>
  <c r="L3" i="14"/>
  <c r="H3" i="14"/>
  <c r="F3" i="14"/>
  <c r="B3" i="14"/>
  <c r="A3" i="14"/>
  <c r="T2" i="14"/>
  <c r="O2" i="14"/>
  <c r="N2" i="14"/>
  <c r="C2" i="14"/>
  <c r="B2" i="14"/>
  <c r="A2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T22" i="13"/>
  <c r="S22" i="13"/>
  <c r="R22" i="13"/>
  <c r="Q22" i="13"/>
  <c r="P22" i="13"/>
  <c r="M22" i="13"/>
  <c r="L22" i="13"/>
  <c r="K22" i="13"/>
  <c r="J22" i="13"/>
  <c r="I22" i="13"/>
  <c r="H22" i="13"/>
  <c r="G22" i="13"/>
  <c r="D22" i="13"/>
  <c r="C22" i="13"/>
  <c r="B22" i="13"/>
  <c r="A22" i="13"/>
  <c r="T21" i="13"/>
  <c r="N21" i="13"/>
  <c r="C21" i="13"/>
  <c r="B21" i="13"/>
  <c r="A21" i="13"/>
  <c r="T20" i="13"/>
  <c r="M20" i="13"/>
  <c r="L20" i="13"/>
  <c r="K20" i="13"/>
  <c r="J20" i="13"/>
  <c r="I20" i="13"/>
  <c r="H20" i="13"/>
  <c r="G20" i="13"/>
  <c r="F20" i="13"/>
  <c r="D20" i="13"/>
  <c r="B20" i="13"/>
  <c r="A20" i="13"/>
  <c r="T19" i="13"/>
  <c r="N19" i="13"/>
  <c r="C19" i="13"/>
  <c r="B19" i="13"/>
  <c r="A19" i="13"/>
  <c r="T18" i="13"/>
  <c r="S18" i="13"/>
  <c r="P18" i="13"/>
  <c r="L18" i="13"/>
  <c r="K18" i="13"/>
  <c r="J18" i="13"/>
  <c r="I18" i="13"/>
  <c r="H18" i="13"/>
  <c r="G18" i="13"/>
  <c r="D18" i="13"/>
  <c r="B18" i="13"/>
  <c r="A18" i="13"/>
  <c r="T17" i="13"/>
  <c r="L17" i="13"/>
  <c r="K17" i="13"/>
  <c r="J17" i="13"/>
  <c r="H17" i="13"/>
  <c r="G17" i="13"/>
  <c r="D17" i="13"/>
  <c r="B17" i="13"/>
  <c r="A17" i="13"/>
  <c r="T16" i="13"/>
  <c r="Q16" i="13"/>
  <c r="P16" i="13"/>
  <c r="L16" i="13"/>
  <c r="K16" i="13"/>
  <c r="J16" i="13"/>
  <c r="H16" i="13"/>
  <c r="G16" i="13"/>
  <c r="D16" i="13"/>
  <c r="B16" i="13"/>
  <c r="A16" i="13"/>
  <c r="T15" i="13"/>
  <c r="C15" i="13"/>
  <c r="B15" i="13"/>
  <c r="A15" i="13"/>
  <c r="T14" i="13"/>
  <c r="C14" i="13"/>
  <c r="B14" i="13"/>
  <c r="A14" i="13"/>
  <c r="T13" i="13"/>
  <c r="C13" i="13"/>
  <c r="B13" i="13"/>
  <c r="A13" i="13"/>
  <c r="T12" i="13"/>
  <c r="C12" i="13"/>
  <c r="B12" i="13"/>
  <c r="A12" i="13"/>
  <c r="T11" i="13"/>
  <c r="N11" i="13"/>
  <c r="C11" i="13"/>
  <c r="B11" i="13"/>
  <c r="A11" i="13"/>
  <c r="T10" i="13"/>
  <c r="M10" i="13"/>
  <c r="L10" i="13"/>
  <c r="J10" i="13"/>
  <c r="I10" i="13"/>
  <c r="H10" i="13"/>
  <c r="G10" i="13"/>
  <c r="D10" i="13"/>
  <c r="B10" i="13"/>
  <c r="A10" i="13"/>
  <c r="T9" i="13"/>
  <c r="S9" i="13"/>
  <c r="R9" i="13"/>
  <c r="Q9" i="13"/>
  <c r="P9" i="13"/>
  <c r="M9" i="13"/>
  <c r="L9" i="13"/>
  <c r="K9" i="13"/>
  <c r="J9" i="13"/>
  <c r="H9" i="13"/>
  <c r="G9" i="13"/>
  <c r="F9" i="13"/>
  <c r="D9" i="13"/>
  <c r="B9" i="13"/>
  <c r="A9" i="13"/>
  <c r="T8" i="13"/>
  <c r="R8" i="13"/>
  <c r="Q8" i="13"/>
  <c r="P8" i="13"/>
  <c r="L8" i="13"/>
  <c r="K8" i="13"/>
  <c r="J8" i="13"/>
  <c r="H8" i="13"/>
  <c r="G8" i="13"/>
  <c r="D8" i="13"/>
  <c r="B8" i="13"/>
  <c r="A8" i="13"/>
  <c r="T7" i="13"/>
  <c r="N7" i="13"/>
  <c r="C7" i="13"/>
  <c r="B7" i="13"/>
  <c r="A7" i="13"/>
  <c r="T6" i="13"/>
  <c r="S6" i="13"/>
  <c r="P6" i="13"/>
  <c r="M6" i="13"/>
  <c r="L6" i="13"/>
  <c r="K6" i="13"/>
  <c r="J6" i="13"/>
  <c r="I6" i="13"/>
  <c r="H6" i="13"/>
  <c r="G6" i="13"/>
  <c r="D6" i="13"/>
  <c r="B6" i="13"/>
  <c r="A6" i="13"/>
  <c r="T5" i="13"/>
  <c r="S5" i="13"/>
  <c r="P5" i="13"/>
  <c r="L5" i="13"/>
  <c r="K5" i="13"/>
  <c r="J5" i="13"/>
  <c r="I5" i="13"/>
  <c r="H5" i="13"/>
  <c r="D5" i="13"/>
  <c r="C5" i="13"/>
  <c r="B5" i="13"/>
  <c r="A5" i="13"/>
  <c r="T4" i="13"/>
  <c r="Q4" i="13"/>
  <c r="K4" i="13"/>
  <c r="J4" i="13"/>
  <c r="I4" i="13"/>
  <c r="B4" i="13"/>
  <c r="A4" i="13"/>
  <c r="T3" i="13"/>
  <c r="R3" i="13"/>
  <c r="Q3" i="13"/>
  <c r="M3" i="13"/>
  <c r="L3" i="13"/>
  <c r="K3" i="13"/>
  <c r="J3" i="13"/>
  <c r="I3" i="13"/>
  <c r="H3" i="13"/>
  <c r="G3" i="13"/>
  <c r="D3" i="13"/>
  <c r="B3" i="13"/>
  <c r="A3" i="13"/>
  <c r="T2" i="13"/>
  <c r="O2" i="13"/>
  <c r="N2" i="13"/>
  <c r="C2" i="13"/>
  <c r="B2" i="13"/>
  <c r="A2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T6" i="12"/>
  <c r="N6" i="12"/>
  <c r="C6" i="12"/>
  <c r="B6" i="12"/>
  <c r="A6" i="12"/>
  <c r="T5" i="12"/>
  <c r="C5" i="12"/>
  <c r="B5" i="12"/>
  <c r="A5" i="12"/>
  <c r="T4" i="12"/>
  <c r="N4" i="12"/>
  <c r="C4" i="12"/>
  <c r="B4" i="12"/>
  <c r="A4" i="12"/>
  <c r="T3" i="12"/>
  <c r="N3" i="12"/>
  <c r="C3" i="12"/>
  <c r="B3" i="12"/>
  <c r="A3" i="12"/>
  <c r="T2" i="12"/>
  <c r="O2" i="12"/>
  <c r="N2" i="12"/>
  <c r="C2" i="12"/>
  <c r="B2" i="12"/>
  <c r="A2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T7" i="11"/>
  <c r="N7" i="11"/>
  <c r="C7" i="11"/>
  <c r="B7" i="11"/>
  <c r="A7" i="11"/>
  <c r="T6" i="11"/>
  <c r="N6" i="11"/>
  <c r="C6" i="11"/>
  <c r="B6" i="11"/>
  <c r="A6" i="11"/>
  <c r="T5" i="11"/>
  <c r="S5" i="11"/>
  <c r="R5" i="11"/>
  <c r="Q5" i="11"/>
  <c r="P5" i="11"/>
  <c r="L5" i="11"/>
  <c r="K5" i="11"/>
  <c r="J5" i="11"/>
  <c r="I5" i="11"/>
  <c r="B5" i="11"/>
  <c r="A5" i="11"/>
  <c r="T4" i="11"/>
  <c r="N4" i="11"/>
  <c r="C4" i="11"/>
  <c r="B4" i="11"/>
  <c r="A4" i="11"/>
  <c r="T3" i="11"/>
  <c r="N3" i="11"/>
  <c r="C3" i="11"/>
  <c r="B3" i="11"/>
  <c r="A3" i="11"/>
  <c r="T2" i="11"/>
  <c r="O2" i="11"/>
  <c r="N2" i="11"/>
  <c r="C2" i="11"/>
  <c r="B2" i="11"/>
  <c r="A2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T47" i="10"/>
  <c r="N47" i="10"/>
  <c r="C47" i="10"/>
  <c r="B47" i="10"/>
  <c r="A47" i="10"/>
  <c r="T46" i="10"/>
  <c r="Q46" i="10"/>
  <c r="B46" i="10"/>
  <c r="A46" i="10"/>
  <c r="T45" i="10"/>
  <c r="Q45" i="10"/>
  <c r="B45" i="10"/>
  <c r="A45" i="10"/>
  <c r="T44" i="10"/>
  <c r="Q44" i="10"/>
  <c r="B44" i="10"/>
  <c r="A44" i="10"/>
  <c r="T43" i="10"/>
  <c r="Q43" i="10"/>
  <c r="B43" i="10"/>
  <c r="A43" i="10"/>
  <c r="T42" i="10"/>
  <c r="Q42" i="10"/>
  <c r="B42" i="10"/>
  <c r="A42" i="10"/>
  <c r="T41" i="10"/>
  <c r="Q41" i="10"/>
  <c r="B41" i="10"/>
  <c r="A41" i="10"/>
  <c r="T40" i="10"/>
  <c r="Q40" i="10"/>
  <c r="B40" i="10"/>
  <c r="A40" i="10"/>
  <c r="T39" i="10"/>
  <c r="R39" i="10"/>
  <c r="B39" i="10"/>
  <c r="A39" i="10"/>
  <c r="T38" i="10"/>
  <c r="R38" i="10"/>
  <c r="B38" i="10"/>
  <c r="A38" i="10"/>
  <c r="T37" i="10"/>
  <c r="R37" i="10"/>
  <c r="B37" i="10"/>
  <c r="A37" i="10"/>
  <c r="T36" i="10"/>
  <c r="R36" i="10"/>
  <c r="B36" i="10"/>
  <c r="A36" i="10"/>
  <c r="T35" i="10"/>
  <c r="R35" i="10"/>
  <c r="B35" i="10"/>
  <c r="A35" i="10"/>
  <c r="T34" i="10"/>
  <c r="R34" i="10"/>
  <c r="B34" i="10"/>
  <c r="A34" i="10"/>
  <c r="T33" i="10"/>
  <c r="R33" i="10"/>
  <c r="B33" i="10"/>
  <c r="A33" i="10"/>
  <c r="T32" i="10"/>
  <c r="L32" i="10"/>
  <c r="H32" i="10"/>
  <c r="B32" i="10"/>
  <c r="A32" i="10"/>
  <c r="T31" i="10"/>
  <c r="S31" i="10"/>
  <c r="L31" i="10"/>
  <c r="G31" i="10"/>
  <c r="F31" i="10"/>
  <c r="B31" i="10"/>
  <c r="A31" i="10"/>
  <c r="T30" i="10"/>
  <c r="K30" i="10"/>
  <c r="J30" i="10"/>
  <c r="I30" i="10"/>
  <c r="D30" i="10"/>
  <c r="B30" i="10"/>
  <c r="A30" i="10"/>
  <c r="T29" i="10"/>
  <c r="K29" i="10"/>
  <c r="J29" i="10"/>
  <c r="D29" i="10"/>
  <c r="B29" i="10"/>
  <c r="A29" i="10"/>
  <c r="T28" i="10"/>
  <c r="K28" i="10"/>
  <c r="J28" i="10"/>
  <c r="D28" i="10"/>
  <c r="B28" i="10"/>
  <c r="A28" i="10"/>
  <c r="T27" i="10"/>
  <c r="K27" i="10"/>
  <c r="J27" i="10"/>
  <c r="D27" i="10"/>
  <c r="B27" i="10"/>
  <c r="A27" i="10"/>
  <c r="T26" i="10"/>
  <c r="K26" i="10"/>
  <c r="J26" i="10"/>
  <c r="I26" i="10"/>
  <c r="D26" i="10"/>
  <c r="B26" i="10"/>
  <c r="A26" i="10"/>
  <c r="T25" i="10"/>
  <c r="K25" i="10"/>
  <c r="J25" i="10"/>
  <c r="I25" i="10"/>
  <c r="D25" i="10"/>
  <c r="B25" i="10"/>
  <c r="A25" i="10"/>
  <c r="T24" i="10"/>
  <c r="K24" i="10"/>
  <c r="J24" i="10"/>
  <c r="I24" i="10"/>
  <c r="D24" i="10"/>
  <c r="B24" i="10"/>
  <c r="A24" i="10"/>
  <c r="T23" i="10"/>
  <c r="K23" i="10"/>
  <c r="J23" i="10"/>
  <c r="I23" i="10"/>
  <c r="D23" i="10"/>
  <c r="B23" i="10"/>
  <c r="A23" i="10"/>
  <c r="T22" i="10"/>
  <c r="J22" i="10"/>
  <c r="I22" i="10"/>
  <c r="D22" i="10"/>
  <c r="B22" i="10"/>
  <c r="A22" i="10"/>
  <c r="T21" i="10"/>
  <c r="K21" i="10"/>
  <c r="J21" i="10"/>
  <c r="I21" i="10"/>
  <c r="D21" i="10"/>
  <c r="B21" i="10"/>
  <c r="A21" i="10"/>
  <c r="T20" i="10"/>
  <c r="K20" i="10"/>
  <c r="J20" i="10"/>
  <c r="D20" i="10"/>
  <c r="B20" i="10"/>
  <c r="A20" i="10"/>
  <c r="T19" i="10"/>
  <c r="R19" i="10"/>
  <c r="K19" i="10"/>
  <c r="J19" i="10"/>
  <c r="I19" i="10"/>
  <c r="D19" i="10"/>
  <c r="B19" i="10"/>
  <c r="A19" i="10"/>
  <c r="T18" i="10"/>
  <c r="K18" i="10"/>
  <c r="J18" i="10"/>
  <c r="I18" i="10"/>
  <c r="D18" i="10"/>
  <c r="B18" i="10"/>
  <c r="A18" i="10"/>
  <c r="T17" i="10"/>
  <c r="K17" i="10"/>
  <c r="J17" i="10"/>
  <c r="I17" i="10"/>
  <c r="D17" i="10"/>
  <c r="B17" i="10"/>
  <c r="A17" i="10"/>
  <c r="T16" i="10"/>
  <c r="K16" i="10"/>
  <c r="J16" i="10"/>
  <c r="D16" i="10"/>
  <c r="B16" i="10"/>
  <c r="A16" i="10"/>
  <c r="T15" i="10"/>
  <c r="K15" i="10"/>
  <c r="J15" i="10"/>
  <c r="D15" i="10"/>
  <c r="B15" i="10"/>
  <c r="A15" i="10"/>
  <c r="T14" i="10"/>
  <c r="K14" i="10"/>
  <c r="J14" i="10"/>
  <c r="I14" i="10"/>
  <c r="D14" i="10"/>
  <c r="B14" i="10"/>
  <c r="A14" i="10"/>
  <c r="T13" i="10"/>
  <c r="P13" i="10"/>
  <c r="K13" i="10"/>
  <c r="J13" i="10"/>
  <c r="I13" i="10"/>
  <c r="D13" i="10"/>
  <c r="B13" i="10"/>
  <c r="A13" i="10"/>
  <c r="T12" i="10"/>
  <c r="K12" i="10"/>
  <c r="J12" i="10"/>
  <c r="I12" i="10"/>
  <c r="D12" i="10"/>
  <c r="B12" i="10"/>
  <c r="A12" i="10"/>
  <c r="T11" i="10"/>
  <c r="J11" i="10"/>
  <c r="I11" i="10"/>
  <c r="D11" i="10"/>
  <c r="B11" i="10"/>
  <c r="A11" i="10"/>
  <c r="T10" i="10"/>
  <c r="K10" i="10"/>
  <c r="J10" i="10"/>
  <c r="D10" i="10"/>
  <c r="B10" i="10"/>
  <c r="A10" i="10"/>
  <c r="T9" i="10"/>
  <c r="K9" i="10"/>
  <c r="J9" i="10"/>
  <c r="I9" i="10"/>
  <c r="D9" i="10"/>
  <c r="B9" i="10"/>
  <c r="A9" i="10"/>
  <c r="T8" i="10"/>
  <c r="K8" i="10"/>
  <c r="J8" i="10"/>
  <c r="D8" i="10"/>
  <c r="B8" i="10"/>
  <c r="A8" i="10"/>
  <c r="T7" i="10"/>
  <c r="K7" i="10"/>
  <c r="J7" i="10"/>
  <c r="D7" i="10"/>
  <c r="B7" i="10"/>
  <c r="A7" i="10"/>
  <c r="T6" i="10"/>
  <c r="K6" i="10"/>
  <c r="J6" i="10"/>
  <c r="I6" i="10"/>
  <c r="D6" i="10"/>
  <c r="B6" i="10"/>
  <c r="A6" i="10"/>
  <c r="T5" i="10"/>
  <c r="N5" i="10"/>
  <c r="C5" i="10"/>
  <c r="B5" i="10"/>
  <c r="A5" i="10"/>
  <c r="T4" i="10"/>
  <c r="N4" i="10"/>
  <c r="C4" i="10"/>
  <c r="B4" i="10"/>
  <c r="A4" i="10"/>
  <c r="T3" i="10"/>
  <c r="N3" i="10"/>
  <c r="C3" i="10"/>
  <c r="B3" i="10"/>
  <c r="A3" i="10"/>
  <c r="T2" i="10"/>
  <c r="O2" i="10"/>
  <c r="N2" i="10"/>
  <c r="C2" i="10"/>
  <c r="B2" i="10"/>
  <c r="A2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N16" i="9"/>
  <c r="C16" i="9"/>
  <c r="B16" i="9"/>
  <c r="A16" i="9"/>
  <c r="T15" i="9"/>
  <c r="N15" i="9"/>
  <c r="C15" i="9"/>
  <c r="B15" i="9"/>
  <c r="A15" i="9"/>
  <c r="T14" i="9"/>
  <c r="N14" i="9"/>
  <c r="C14" i="9"/>
  <c r="B14" i="9"/>
  <c r="A14" i="9"/>
  <c r="T13" i="9"/>
  <c r="Q13" i="9"/>
  <c r="B13" i="9"/>
  <c r="A13" i="9"/>
  <c r="T12" i="9"/>
  <c r="Q12" i="9"/>
  <c r="B12" i="9"/>
  <c r="A12" i="9"/>
  <c r="T11" i="9"/>
  <c r="Q11" i="9"/>
  <c r="B11" i="9"/>
  <c r="A11" i="9"/>
  <c r="T10" i="9"/>
  <c r="Q10" i="9"/>
  <c r="B10" i="9"/>
  <c r="A10" i="9"/>
  <c r="T9" i="9"/>
  <c r="S9" i="9"/>
  <c r="R9" i="9"/>
  <c r="P9" i="9"/>
  <c r="M9" i="9"/>
  <c r="L9" i="9"/>
  <c r="K9" i="9"/>
  <c r="J9" i="9"/>
  <c r="I9" i="9"/>
  <c r="F9" i="9"/>
  <c r="B9" i="9"/>
  <c r="A9" i="9"/>
  <c r="T8" i="9"/>
  <c r="N8" i="9"/>
  <c r="C8" i="9"/>
  <c r="B8" i="9"/>
  <c r="A8" i="9"/>
  <c r="T7" i="9"/>
  <c r="Q7" i="9"/>
  <c r="B7" i="9"/>
  <c r="A7" i="9"/>
  <c r="T6" i="9"/>
  <c r="Q6" i="9"/>
  <c r="B6" i="9"/>
  <c r="A6" i="9"/>
  <c r="T5" i="9"/>
  <c r="Q5" i="9"/>
  <c r="B5" i="9"/>
  <c r="A5" i="9"/>
  <c r="T4" i="9"/>
  <c r="Q4" i="9"/>
  <c r="B4" i="9"/>
  <c r="A4" i="9"/>
  <c r="T3" i="9"/>
  <c r="S3" i="9"/>
  <c r="Q3" i="9"/>
  <c r="P3" i="9"/>
  <c r="M3" i="9"/>
  <c r="L3" i="9"/>
  <c r="K3" i="9"/>
  <c r="J3" i="9"/>
  <c r="I3" i="9"/>
  <c r="G3" i="9"/>
  <c r="F3" i="9"/>
  <c r="D3" i="9"/>
  <c r="B3" i="9"/>
  <c r="A3" i="9"/>
  <c r="T2" i="9"/>
  <c r="O2" i="9"/>
  <c r="N2" i="9"/>
  <c r="C2" i="9"/>
  <c r="B2" i="9"/>
  <c r="A2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T15" i="8"/>
  <c r="N15" i="8"/>
  <c r="C15" i="8"/>
  <c r="B15" i="8"/>
  <c r="A15" i="8"/>
  <c r="T14" i="8"/>
  <c r="N14" i="8"/>
  <c r="C14" i="8"/>
  <c r="B14" i="8"/>
  <c r="A14" i="8"/>
  <c r="T13" i="8"/>
  <c r="R13" i="8"/>
  <c r="B13" i="8"/>
  <c r="A13" i="8"/>
  <c r="T12" i="8"/>
  <c r="R12" i="8"/>
  <c r="B12" i="8"/>
  <c r="A12" i="8"/>
  <c r="T11" i="8"/>
  <c r="S11" i="8"/>
  <c r="R11" i="8"/>
  <c r="Q11" i="8"/>
  <c r="M11" i="8"/>
  <c r="L11" i="8"/>
  <c r="K11" i="8"/>
  <c r="J11" i="8"/>
  <c r="I11" i="8"/>
  <c r="H11" i="8"/>
  <c r="G11" i="8"/>
  <c r="F11" i="8"/>
  <c r="D11" i="8"/>
  <c r="B11" i="8"/>
  <c r="A11" i="8"/>
  <c r="T10" i="8"/>
  <c r="N10" i="8"/>
  <c r="C10" i="8"/>
  <c r="B10" i="8"/>
  <c r="A10" i="8"/>
  <c r="T9" i="8"/>
  <c r="N9" i="8"/>
  <c r="C9" i="8"/>
  <c r="B9" i="8"/>
  <c r="A9" i="8"/>
  <c r="T8" i="8"/>
  <c r="R8" i="8"/>
  <c r="D8" i="8"/>
  <c r="B8" i="8"/>
  <c r="A8" i="8"/>
  <c r="T7" i="8"/>
  <c r="R7" i="8"/>
  <c r="B7" i="8"/>
  <c r="A7" i="8"/>
  <c r="T6" i="8"/>
  <c r="R6" i="8"/>
  <c r="B6" i="8"/>
  <c r="A6" i="8"/>
  <c r="T5" i="8"/>
  <c r="R5" i="8"/>
  <c r="P5" i="8"/>
  <c r="B5" i="8"/>
  <c r="A5" i="8"/>
  <c r="T4" i="8"/>
  <c r="S4" i="8"/>
  <c r="R4" i="8"/>
  <c r="Q4" i="8"/>
  <c r="P4" i="8"/>
  <c r="M4" i="8"/>
  <c r="L4" i="8"/>
  <c r="K4" i="8"/>
  <c r="J4" i="8"/>
  <c r="I4" i="8"/>
  <c r="H4" i="8"/>
  <c r="G4" i="8"/>
  <c r="F4" i="8"/>
  <c r="D4" i="8"/>
  <c r="B4" i="8"/>
  <c r="A4" i="8"/>
  <c r="T3" i="8"/>
  <c r="O3" i="8"/>
  <c r="N3" i="8"/>
  <c r="C3" i="8"/>
  <c r="B3" i="8"/>
  <c r="A3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" i="8"/>
  <c r="T43" i="7"/>
  <c r="K43" i="7"/>
  <c r="J43" i="7"/>
  <c r="I43" i="7"/>
  <c r="D43" i="7"/>
  <c r="B43" i="7"/>
  <c r="A43" i="7"/>
  <c r="T42" i="7"/>
  <c r="K42" i="7"/>
  <c r="J42" i="7"/>
  <c r="I42" i="7"/>
  <c r="B42" i="7"/>
  <c r="A42" i="7"/>
  <c r="T41" i="7"/>
  <c r="M41" i="7"/>
  <c r="L41" i="7"/>
  <c r="K41" i="7"/>
  <c r="J41" i="7"/>
  <c r="I41" i="7"/>
  <c r="H41" i="7"/>
  <c r="G41" i="7"/>
  <c r="D41" i="7"/>
  <c r="B41" i="7"/>
  <c r="A41" i="7"/>
  <c r="T40" i="7"/>
  <c r="K40" i="7"/>
  <c r="J40" i="7"/>
  <c r="D40" i="7"/>
  <c r="B40" i="7"/>
  <c r="A40" i="7"/>
  <c r="T39" i="7"/>
  <c r="R39" i="7"/>
  <c r="P39" i="7"/>
  <c r="L39" i="7"/>
  <c r="K39" i="7"/>
  <c r="J39" i="7"/>
  <c r="I39" i="7"/>
  <c r="H39" i="7"/>
  <c r="G39" i="7"/>
  <c r="D39" i="7"/>
  <c r="B39" i="7"/>
  <c r="A39" i="7"/>
  <c r="T38" i="7"/>
  <c r="R38" i="7"/>
  <c r="I38" i="7"/>
  <c r="B38" i="7"/>
  <c r="A38" i="7"/>
  <c r="T37" i="7"/>
  <c r="R37" i="7"/>
  <c r="P37" i="7"/>
  <c r="M37" i="7"/>
  <c r="K37" i="7"/>
  <c r="J37" i="7"/>
  <c r="I37" i="7"/>
  <c r="H37" i="7"/>
  <c r="D37" i="7"/>
  <c r="B37" i="7"/>
  <c r="A37" i="7"/>
  <c r="T36" i="7"/>
  <c r="R36" i="7"/>
  <c r="P36" i="7"/>
  <c r="L36" i="7"/>
  <c r="K36" i="7"/>
  <c r="J36" i="7"/>
  <c r="I36" i="7"/>
  <c r="H36" i="7"/>
  <c r="G36" i="7"/>
  <c r="D36" i="7"/>
  <c r="B36" i="7"/>
  <c r="A36" i="7"/>
  <c r="T35" i="7"/>
  <c r="R35" i="7"/>
  <c r="L35" i="7"/>
  <c r="K35" i="7"/>
  <c r="J35" i="7"/>
  <c r="I35" i="7"/>
  <c r="H35" i="7"/>
  <c r="G35" i="7"/>
  <c r="D35" i="7"/>
  <c r="B35" i="7"/>
  <c r="A35" i="7"/>
  <c r="T34" i="7"/>
  <c r="R34" i="7"/>
  <c r="Q34" i="7"/>
  <c r="P34" i="7"/>
  <c r="K34" i="7"/>
  <c r="J34" i="7"/>
  <c r="I34" i="7"/>
  <c r="H34" i="7"/>
  <c r="G34" i="7"/>
  <c r="D34" i="7"/>
  <c r="B34" i="7"/>
  <c r="A34" i="7"/>
  <c r="T33" i="7"/>
  <c r="L33" i="7"/>
  <c r="K33" i="7"/>
  <c r="J33" i="7"/>
  <c r="I33" i="7"/>
  <c r="H33" i="7"/>
  <c r="G33" i="7"/>
  <c r="D33" i="7"/>
  <c r="B33" i="7"/>
  <c r="A33" i="7"/>
  <c r="T32" i="7"/>
  <c r="Q32" i="7"/>
  <c r="H32" i="7"/>
  <c r="G32" i="7"/>
  <c r="B32" i="7"/>
  <c r="A32" i="7"/>
  <c r="T31" i="7"/>
  <c r="R31" i="7"/>
  <c r="I31" i="7"/>
  <c r="H31" i="7"/>
  <c r="G31" i="7"/>
  <c r="B31" i="7"/>
  <c r="A31" i="7"/>
  <c r="T30" i="7"/>
  <c r="L30" i="7"/>
  <c r="K30" i="7"/>
  <c r="J30" i="7"/>
  <c r="I30" i="7"/>
  <c r="H30" i="7"/>
  <c r="G30" i="7"/>
  <c r="D30" i="7"/>
  <c r="B30" i="7"/>
  <c r="A30" i="7"/>
  <c r="T29" i="7"/>
  <c r="N29" i="7"/>
  <c r="C29" i="7"/>
  <c r="B29" i="7"/>
  <c r="A29" i="7"/>
  <c r="T28" i="7"/>
  <c r="N28" i="7"/>
  <c r="C28" i="7"/>
  <c r="B28" i="7"/>
  <c r="A28" i="7"/>
  <c r="T27" i="7"/>
  <c r="P27" i="7"/>
  <c r="K27" i="7"/>
  <c r="J27" i="7"/>
  <c r="I27" i="7"/>
  <c r="D27" i="7"/>
  <c r="B27" i="7"/>
  <c r="A27" i="7"/>
  <c r="T26" i="7"/>
  <c r="K26" i="7"/>
  <c r="J26" i="7"/>
  <c r="I26" i="7"/>
  <c r="H26" i="7"/>
  <c r="G26" i="7"/>
  <c r="D26" i="7"/>
  <c r="B26" i="7"/>
  <c r="A26" i="7"/>
  <c r="T25" i="7"/>
  <c r="N25" i="7"/>
  <c r="C25" i="7"/>
  <c r="B25" i="7"/>
  <c r="A25" i="7"/>
  <c r="T24" i="7"/>
  <c r="L24" i="7"/>
  <c r="K24" i="7"/>
  <c r="J24" i="7"/>
  <c r="I24" i="7"/>
  <c r="H24" i="7"/>
  <c r="G24" i="7"/>
  <c r="D24" i="7"/>
  <c r="B24" i="7"/>
  <c r="A24" i="7"/>
  <c r="T23" i="7"/>
  <c r="M23" i="7"/>
  <c r="K23" i="7"/>
  <c r="J23" i="7"/>
  <c r="I23" i="7"/>
  <c r="H23" i="7"/>
  <c r="G23" i="7"/>
  <c r="D23" i="7"/>
  <c r="B23" i="7"/>
  <c r="A23" i="7"/>
  <c r="T22" i="7"/>
  <c r="R22" i="7"/>
  <c r="P22" i="7"/>
  <c r="M22" i="7"/>
  <c r="K22" i="7"/>
  <c r="J22" i="7"/>
  <c r="I22" i="7"/>
  <c r="H22" i="7"/>
  <c r="G22" i="7"/>
  <c r="D22" i="7"/>
  <c r="B22" i="7"/>
  <c r="A22" i="7"/>
  <c r="T21" i="7"/>
  <c r="R21" i="7"/>
  <c r="K21" i="7"/>
  <c r="J21" i="7"/>
  <c r="B21" i="7"/>
  <c r="A21" i="7"/>
  <c r="T20" i="7"/>
  <c r="R20" i="7"/>
  <c r="K20" i="7"/>
  <c r="J20" i="7"/>
  <c r="I20" i="7"/>
  <c r="H20" i="7"/>
  <c r="G20" i="7"/>
  <c r="D20" i="7"/>
  <c r="B20" i="7"/>
  <c r="A20" i="7"/>
  <c r="T19" i="7"/>
  <c r="S19" i="7"/>
  <c r="R19" i="7"/>
  <c r="P19" i="7"/>
  <c r="L19" i="7"/>
  <c r="K19" i="7"/>
  <c r="J19" i="7"/>
  <c r="I19" i="7"/>
  <c r="H19" i="7"/>
  <c r="G19" i="7"/>
  <c r="D19" i="7"/>
  <c r="B19" i="7"/>
  <c r="A19" i="7"/>
  <c r="T18" i="7"/>
  <c r="R18" i="7"/>
  <c r="P18" i="7"/>
  <c r="K18" i="7"/>
  <c r="J18" i="7"/>
  <c r="I18" i="7"/>
  <c r="D18" i="7"/>
  <c r="B18" i="7"/>
  <c r="A18" i="7"/>
  <c r="T17" i="7"/>
  <c r="P17" i="7"/>
  <c r="L17" i="7"/>
  <c r="K17" i="7"/>
  <c r="J17" i="7"/>
  <c r="I17" i="7"/>
  <c r="H17" i="7"/>
  <c r="G17" i="7"/>
  <c r="F17" i="7"/>
  <c r="D17" i="7"/>
  <c r="B17" i="7"/>
  <c r="A17" i="7"/>
  <c r="T16" i="7"/>
  <c r="F16" i="7"/>
  <c r="B16" i="7"/>
  <c r="A16" i="7"/>
  <c r="T15" i="7"/>
  <c r="R15" i="7"/>
  <c r="P15" i="7"/>
  <c r="M15" i="7"/>
  <c r="H15" i="7"/>
  <c r="B15" i="7"/>
  <c r="A15" i="7"/>
  <c r="T14" i="7"/>
  <c r="R14" i="7"/>
  <c r="P14" i="7"/>
  <c r="L14" i="7"/>
  <c r="K14" i="7"/>
  <c r="J14" i="7"/>
  <c r="I14" i="7"/>
  <c r="H14" i="7"/>
  <c r="G14" i="7"/>
  <c r="D14" i="7"/>
  <c r="B14" i="7"/>
  <c r="A14" i="7"/>
  <c r="T13" i="7"/>
  <c r="Q13" i="7"/>
  <c r="L13" i="7"/>
  <c r="H13" i="7"/>
  <c r="G13" i="7"/>
  <c r="B13" i="7"/>
  <c r="A13" i="7"/>
  <c r="T12" i="7"/>
  <c r="N12" i="7"/>
  <c r="C12" i="7"/>
  <c r="B12" i="7"/>
  <c r="A12" i="7"/>
  <c r="T11" i="7"/>
  <c r="L11" i="7"/>
  <c r="H11" i="7"/>
  <c r="G11" i="7"/>
  <c r="B11" i="7"/>
  <c r="A11" i="7"/>
  <c r="T10" i="7"/>
  <c r="P10" i="7"/>
  <c r="K10" i="7"/>
  <c r="J10" i="7"/>
  <c r="I10" i="7"/>
  <c r="D10" i="7"/>
  <c r="B10" i="7"/>
  <c r="A10" i="7"/>
  <c r="T9" i="7"/>
  <c r="K9" i="7"/>
  <c r="I9" i="7"/>
  <c r="B9" i="7"/>
  <c r="A9" i="7"/>
  <c r="T8" i="7"/>
  <c r="K8" i="7"/>
  <c r="I8" i="7"/>
  <c r="B8" i="7"/>
  <c r="A8" i="7"/>
  <c r="T7" i="7"/>
  <c r="K7" i="7"/>
  <c r="I7" i="7"/>
  <c r="B7" i="7"/>
  <c r="A7" i="7"/>
  <c r="T6" i="7"/>
  <c r="K6" i="7"/>
  <c r="I6" i="7"/>
  <c r="B6" i="7"/>
  <c r="A6" i="7"/>
  <c r="T5" i="7"/>
  <c r="K5" i="7"/>
  <c r="I5" i="7"/>
  <c r="B5" i="7"/>
  <c r="A5" i="7"/>
  <c r="T4" i="7"/>
  <c r="M4" i="7"/>
  <c r="L4" i="7"/>
  <c r="K4" i="7"/>
  <c r="I4" i="7"/>
  <c r="H4" i="7"/>
  <c r="G4" i="7"/>
  <c r="D4" i="7"/>
  <c r="B4" i="7"/>
  <c r="A4" i="7"/>
  <c r="T3" i="7"/>
  <c r="O3" i="7"/>
  <c r="N3" i="7"/>
  <c r="C3" i="7"/>
  <c r="B3" i="7"/>
  <c r="A3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T10" i="6"/>
  <c r="N10" i="6"/>
  <c r="C10" i="6"/>
  <c r="B10" i="6"/>
  <c r="A10" i="6"/>
  <c r="T9" i="6"/>
  <c r="N9" i="6"/>
  <c r="C9" i="6"/>
  <c r="B9" i="6"/>
  <c r="A9" i="6"/>
  <c r="T8" i="6"/>
  <c r="N8" i="6"/>
  <c r="C8" i="6"/>
  <c r="B8" i="6"/>
  <c r="A8" i="6"/>
  <c r="T7" i="6"/>
  <c r="S7" i="6"/>
  <c r="K7" i="6"/>
  <c r="J7" i="6"/>
  <c r="I7" i="6"/>
  <c r="H7" i="6"/>
  <c r="D7" i="6"/>
  <c r="B7" i="6"/>
  <c r="A7" i="6"/>
  <c r="T6" i="6"/>
  <c r="H6" i="6"/>
  <c r="D6" i="6"/>
  <c r="B6" i="6"/>
  <c r="A6" i="6"/>
  <c r="T5" i="6"/>
  <c r="N5" i="6"/>
  <c r="C5" i="6"/>
  <c r="B5" i="6"/>
  <c r="A5" i="6"/>
  <c r="T4" i="6"/>
  <c r="S4" i="6"/>
  <c r="Q4" i="6"/>
  <c r="H4" i="6"/>
  <c r="D4" i="6"/>
  <c r="B4" i="6"/>
  <c r="A4" i="6"/>
  <c r="T3" i="6"/>
  <c r="O3" i="6"/>
  <c r="N3" i="6"/>
  <c r="C3" i="6"/>
  <c r="B3" i="6"/>
  <c r="A3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T14" i="5"/>
  <c r="N14" i="5"/>
  <c r="C14" i="5"/>
  <c r="B14" i="5"/>
  <c r="A14" i="5"/>
  <c r="T13" i="5"/>
  <c r="N13" i="5"/>
  <c r="C13" i="5"/>
  <c r="B13" i="5"/>
  <c r="A13" i="5"/>
  <c r="T12" i="5"/>
  <c r="N12" i="5"/>
  <c r="C12" i="5"/>
  <c r="B12" i="5"/>
  <c r="A12" i="5"/>
  <c r="T11" i="5"/>
  <c r="K11" i="5"/>
  <c r="H11" i="5"/>
  <c r="B11" i="5"/>
  <c r="A11" i="5"/>
  <c r="T10" i="5"/>
  <c r="K10" i="5"/>
  <c r="B10" i="5"/>
  <c r="A10" i="5"/>
  <c r="T9" i="5"/>
  <c r="K9" i="5"/>
  <c r="B9" i="5"/>
  <c r="A9" i="5"/>
  <c r="T8" i="5"/>
  <c r="K8" i="5"/>
  <c r="B8" i="5"/>
  <c r="A8" i="5"/>
  <c r="T7" i="5"/>
  <c r="K7" i="5"/>
  <c r="B7" i="5"/>
  <c r="A7" i="5"/>
  <c r="T6" i="5"/>
  <c r="K6" i="5"/>
  <c r="J6" i="5"/>
  <c r="I6" i="5"/>
  <c r="B6" i="5"/>
  <c r="A6" i="5"/>
  <c r="T5" i="5"/>
  <c r="S5" i="5"/>
  <c r="R5" i="5"/>
  <c r="Q5" i="5"/>
  <c r="P5" i="5"/>
  <c r="M5" i="5"/>
  <c r="L5" i="5"/>
  <c r="K5" i="5"/>
  <c r="J5" i="5"/>
  <c r="I5" i="5"/>
  <c r="H5" i="5"/>
  <c r="G5" i="5"/>
  <c r="F5" i="5"/>
  <c r="D5" i="5"/>
  <c r="B5" i="5"/>
  <c r="A5" i="5"/>
  <c r="T4" i="5"/>
  <c r="C4" i="5"/>
  <c r="B4" i="5"/>
  <c r="A4" i="5"/>
  <c r="T3" i="5"/>
  <c r="O3" i="5"/>
  <c r="N3" i="5"/>
  <c r="C3" i="5"/>
  <c r="B3" i="5"/>
  <c r="A3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T21" i="4"/>
  <c r="Q21" i="4"/>
  <c r="P21" i="4"/>
  <c r="K21" i="4"/>
  <c r="J21" i="4"/>
  <c r="I21" i="4"/>
  <c r="B21" i="4"/>
  <c r="A21" i="4"/>
  <c r="T20" i="4"/>
  <c r="Q20" i="4"/>
  <c r="P20" i="4"/>
  <c r="M20" i="4"/>
  <c r="K20" i="4"/>
  <c r="J20" i="4"/>
  <c r="I20" i="4"/>
  <c r="F20" i="4"/>
  <c r="D20" i="4"/>
  <c r="B20" i="4"/>
  <c r="A20" i="4"/>
  <c r="T19" i="4"/>
  <c r="S19" i="4"/>
  <c r="K19" i="4"/>
  <c r="J19" i="4"/>
  <c r="I19" i="4"/>
  <c r="D19" i="4"/>
  <c r="B19" i="4"/>
  <c r="A19" i="4"/>
  <c r="T18" i="4"/>
  <c r="S18" i="4"/>
  <c r="K18" i="4"/>
  <c r="J18" i="4"/>
  <c r="I18" i="4"/>
  <c r="D18" i="4"/>
  <c r="B18" i="4"/>
  <c r="A18" i="4"/>
  <c r="T17" i="4"/>
  <c r="R17" i="4"/>
  <c r="P17" i="4"/>
  <c r="K17" i="4"/>
  <c r="J17" i="4"/>
  <c r="I17" i="4"/>
  <c r="D17" i="4"/>
  <c r="B17" i="4"/>
  <c r="A17" i="4"/>
  <c r="T16" i="4"/>
  <c r="R16" i="4"/>
  <c r="P16" i="4"/>
  <c r="K16" i="4"/>
  <c r="J16" i="4"/>
  <c r="I16" i="4"/>
  <c r="D16" i="4"/>
  <c r="B16" i="4"/>
  <c r="A16" i="4"/>
  <c r="T15" i="4"/>
  <c r="N15" i="4"/>
  <c r="C15" i="4"/>
  <c r="B15" i="4"/>
  <c r="A15" i="4"/>
  <c r="T14" i="4"/>
  <c r="Q14" i="4"/>
  <c r="I14" i="4"/>
  <c r="B14" i="4"/>
  <c r="A14" i="4"/>
  <c r="T13" i="4"/>
  <c r="S13" i="4"/>
  <c r="K13" i="4"/>
  <c r="J13" i="4"/>
  <c r="I13" i="4"/>
  <c r="D13" i="4"/>
  <c r="B13" i="4"/>
  <c r="A13" i="4"/>
  <c r="T12" i="4"/>
  <c r="R12" i="4"/>
  <c r="K12" i="4"/>
  <c r="J12" i="4"/>
  <c r="I12" i="4"/>
  <c r="D12" i="4"/>
  <c r="B12" i="4"/>
  <c r="A12" i="4"/>
  <c r="T11" i="4"/>
  <c r="N11" i="4"/>
  <c r="C11" i="4"/>
  <c r="B11" i="4"/>
  <c r="A11" i="4"/>
  <c r="T10" i="4"/>
  <c r="R10" i="4"/>
  <c r="P10" i="4"/>
  <c r="K10" i="4"/>
  <c r="J10" i="4"/>
  <c r="I10" i="4"/>
  <c r="D10" i="4"/>
  <c r="B10" i="4"/>
  <c r="A10" i="4"/>
  <c r="T9" i="4"/>
  <c r="R9" i="4"/>
  <c r="K9" i="4"/>
  <c r="J9" i="4"/>
  <c r="I9" i="4"/>
  <c r="D9" i="4"/>
  <c r="B9" i="4"/>
  <c r="A9" i="4"/>
  <c r="T8" i="4"/>
  <c r="S8" i="4"/>
  <c r="R8" i="4"/>
  <c r="Q8" i="4"/>
  <c r="P8" i="4"/>
  <c r="L8" i="4"/>
  <c r="K8" i="4"/>
  <c r="J8" i="4"/>
  <c r="I8" i="4"/>
  <c r="H8" i="4"/>
  <c r="G8" i="4"/>
  <c r="F8" i="4"/>
  <c r="D8" i="4"/>
  <c r="B8" i="4"/>
  <c r="A8" i="4"/>
  <c r="T7" i="4"/>
  <c r="N7" i="4"/>
  <c r="C7" i="4"/>
  <c r="B7" i="4"/>
  <c r="A7" i="4"/>
  <c r="T6" i="4"/>
  <c r="N6" i="4"/>
  <c r="C6" i="4"/>
  <c r="B6" i="4"/>
  <c r="A6" i="4"/>
  <c r="T5" i="4"/>
  <c r="O5" i="4"/>
  <c r="N5" i="4"/>
  <c r="C5" i="4"/>
  <c r="B5" i="4"/>
  <c r="A5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T52" i="3"/>
  <c r="Q52" i="3"/>
  <c r="B52" i="3"/>
  <c r="A52" i="3"/>
  <c r="T51" i="3"/>
  <c r="Q51" i="3"/>
  <c r="B51" i="3"/>
  <c r="A51" i="3"/>
  <c r="T50" i="3"/>
  <c r="Q50" i="3"/>
  <c r="M50" i="3"/>
  <c r="L50" i="3"/>
  <c r="H50" i="3"/>
  <c r="G50" i="3"/>
  <c r="F50" i="3"/>
  <c r="B50" i="3"/>
  <c r="A50" i="3"/>
  <c r="T49" i="3"/>
  <c r="P49" i="3"/>
  <c r="K49" i="3"/>
  <c r="J49" i="3"/>
  <c r="I49" i="3"/>
  <c r="B49" i="3"/>
  <c r="A49" i="3"/>
  <c r="T48" i="3"/>
  <c r="K48" i="3"/>
  <c r="J48" i="3"/>
  <c r="I48" i="3"/>
  <c r="B48" i="3"/>
  <c r="A48" i="3"/>
  <c r="T47" i="3"/>
  <c r="K47" i="3"/>
  <c r="J47" i="3"/>
  <c r="I47" i="3"/>
  <c r="B47" i="3"/>
  <c r="A47" i="3"/>
  <c r="T46" i="3"/>
  <c r="K46" i="3"/>
  <c r="J46" i="3"/>
  <c r="I46" i="3"/>
  <c r="B46" i="3"/>
  <c r="A46" i="3"/>
  <c r="T45" i="3"/>
  <c r="K45" i="3"/>
  <c r="J45" i="3"/>
  <c r="I45" i="3"/>
  <c r="B45" i="3"/>
  <c r="A45" i="3"/>
  <c r="T44" i="3"/>
  <c r="K44" i="3"/>
  <c r="J44" i="3"/>
  <c r="I44" i="3"/>
  <c r="B44" i="3"/>
  <c r="A44" i="3"/>
  <c r="T43" i="3"/>
  <c r="K43" i="3"/>
  <c r="J43" i="3"/>
  <c r="I43" i="3"/>
  <c r="B43" i="3"/>
  <c r="A43" i="3"/>
  <c r="T42" i="3"/>
  <c r="K42" i="3"/>
  <c r="J42" i="3"/>
  <c r="I42" i="3"/>
  <c r="B42" i="3"/>
  <c r="A42" i="3"/>
  <c r="T41" i="3"/>
  <c r="K41" i="3"/>
  <c r="J41" i="3"/>
  <c r="I41" i="3"/>
  <c r="B41" i="3"/>
  <c r="A41" i="3"/>
  <c r="T40" i="3"/>
  <c r="K40" i="3"/>
  <c r="J40" i="3"/>
  <c r="I40" i="3"/>
  <c r="B40" i="3"/>
  <c r="A40" i="3"/>
  <c r="T39" i="3"/>
  <c r="K39" i="3"/>
  <c r="J39" i="3"/>
  <c r="I39" i="3"/>
  <c r="B39" i="3"/>
  <c r="A39" i="3"/>
  <c r="T38" i="3"/>
  <c r="K38" i="3"/>
  <c r="J38" i="3"/>
  <c r="I38" i="3"/>
  <c r="B38" i="3"/>
  <c r="A38" i="3"/>
  <c r="T37" i="3"/>
  <c r="K37" i="3"/>
  <c r="J37" i="3"/>
  <c r="I37" i="3"/>
  <c r="B37" i="3"/>
  <c r="A37" i="3"/>
  <c r="T36" i="3"/>
  <c r="K36" i="3"/>
  <c r="J36" i="3"/>
  <c r="I36" i="3"/>
  <c r="B36" i="3"/>
  <c r="A36" i="3"/>
  <c r="T35" i="3"/>
  <c r="S35" i="3"/>
  <c r="Q35" i="3"/>
  <c r="M35" i="3"/>
  <c r="L35" i="3"/>
  <c r="K35" i="3"/>
  <c r="J35" i="3"/>
  <c r="I35" i="3"/>
  <c r="H35" i="3"/>
  <c r="G35" i="3"/>
  <c r="D35" i="3"/>
  <c r="B35" i="3"/>
  <c r="A35" i="3"/>
  <c r="T34" i="3"/>
  <c r="N34" i="3"/>
  <c r="C34" i="3"/>
  <c r="B34" i="3"/>
  <c r="A34" i="3"/>
  <c r="T33" i="3"/>
  <c r="N33" i="3"/>
  <c r="C33" i="3"/>
  <c r="B33" i="3"/>
  <c r="A33" i="3"/>
  <c r="T32" i="3"/>
  <c r="N32" i="3"/>
  <c r="C32" i="3"/>
  <c r="B32" i="3"/>
  <c r="A32" i="3"/>
  <c r="T31" i="3"/>
  <c r="K31" i="3"/>
  <c r="J31" i="3"/>
  <c r="I31" i="3"/>
  <c r="B31" i="3"/>
  <c r="A31" i="3"/>
  <c r="T30" i="3"/>
  <c r="K30" i="3"/>
  <c r="J30" i="3"/>
  <c r="I30" i="3"/>
  <c r="B30" i="3"/>
  <c r="A30" i="3"/>
  <c r="T29" i="3"/>
  <c r="K29" i="3"/>
  <c r="J29" i="3"/>
  <c r="I29" i="3"/>
  <c r="B29" i="3"/>
  <c r="A29" i="3"/>
  <c r="T28" i="3"/>
  <c r="K28" i="3"/>
  <c r="J28" i="3"/>
  <c r="I28" i="3"/>
  <c r="B28" i="3"/>
  <c r="A28" i="3"/>
  <c r="T27" i="3"/>
  <c r="K27" i="3"/>
  <c r="J27" i="3"/>
  <c r="I27" i="3"/>
  <c r="B27" i="3"/>
  <c r="A27" i="3"/>
  <c r="T26" i="3"/>
  <c r="K26" i="3"/>
  <c r="J26" i="3"/>
  <c r="I26" i="3"/>
  <c r="B26" i="3"/>
  <c r="A26" i="3"/>
  <c r="T25" i="3"/>
  <c r="K25" i="3"/>
  <c r="J25" i="3"/>
  <c r="I25" i="3"/>
  <c r="B25" i="3"/>
  <c r="A25" i="3"/>
  <c r="T24" i="3"/>
  <c r="K24" i="3"/>
  <c r="J24" i="3"/>
  <c r="I24" i="3"/>
  <c r="B24" i="3"/>
  <c r="A24" i="3"/>
  <c r="T23" i="3"/>
  <c r="K23" i="3"/>
  <c r="J23" i="3"/>
  <c r="I23" i="3"/>
  <c r="B23" i="3"/>
  <c r="A23" i="3"/>
  <c r="T22" i="3"/>
  <c r="K22" i="3"/>
  <c r="J22" i="3"/>
  <c r="I22" i="3"/>
  <c r="B22" i="3"/>
  <c r="A22" i="3"/>
  <c r="T21" i="3"/>
  <c r="K21" i="3"/>
  <c r="J21" i="3"/>
  <c r="I21" i="3"/>
  <c r="B21" i="3"/>
  <c r="A21" i="3"/>
  <c r="T20" i="3"/>
  <c r="K20" i="3"/>
  <c r="J20" i="3"/>
  <c r="I20" i="3"/>
  <c r="B20" i="3"/>
  <c r="A20" i="3"/>
  <c r="T19" i="3"/>
  <c r="K19" i="3"/>
  <c r="J19" i="3"/>
  <c r="I19" i="3"/>
  <c r="B19" i="3"/>
  <c r="A19" i="3"/>
  <c r="T18" i="3"/>
  <c r="K18" i="3"/>
  <c r="J18" i="3"/>
  <c r="I18" i="3"/>
  <c r="B18" i="3"/>
  <c r="A18" i="3"/>
  <c r="T17" i="3"/>
  <c r="K17" i="3"/>
  <c r="J17" i="3"/>
  <c r="I17" i="3"/>
  <c r="B17" i="3"/>
  <c r="A17" i="3"/>
  <c r="T16" i="3"/>
  <c r="K16" i="3"/>
  <c r="J16" i="3"/>
  <c r="I16" i="3"/>
  <c r="B16" i="3"/>
  <c r="A16" i="3"/>
  <c r="T15" i="3"/>
  <c r="K15" i="3"/>
  <c r="J15" i="3"/>
  <c r="I15" i="3"/>
  <c r="B15" i="3"/>
  <c r="A15" i="3"/>
  <c r="T14" i="3"/>
  <c r="K14" i="3"/>
  <c r="J14" i="3"/>
  <c r="I14" i="3"/>
  <c r="B14" i="3"/>
  <c r="A14" i="3"/>
  <c r="T13" i="3"/>
  <c r="K13" i="3"/>
  <c r="J13" i="3"/>
  <c r="I13" i="3"/>
  <c r="B13" i="3"/>
  <c r="A13" i="3"/>
  <c r="T12" i="3"/>
  <c r="K12" i="3"/>
  <c r="J12" i="3"/>
  <c r="I12" i="3"/>
  <c r="B12" i="3"/>
  <c r="A12" i="3"/>
  <c r="T11" i="3"/>
  <c r="K11" i="3"/>
  <c r="J11" i="3"/>
  <c r="I11" i="3"/>
  <c r="B11" i="3"/>
  <c r="A11" i="3"/>
  <c r="T10" i="3"/>
  <c r="S10" i="3"/>
  <c r="M10" i="3"/>
  <c r="L10" i="3"/>
  <c r="I10" i="3"/>
  <c r="H10" i="3"/>
  <c r="B10" i="3"/>
  <c r="A10" i="3"/>
  <c r="T9" i="3"/>
  <c r="N9" i="3"/>
  <c r="C9" i="3"/>
  <c r="B9" i="3"/>
  <c r="A9" i="3"/>
  <c r="T8" i="3"/>
  <c r="N8" i="3"/>
  <c r="C8" i="3"/>
  <c r="B8" i="3"/>
  <c r="A8" i="3"/>
  <c r="T7" i="3"/>
  <c r="Q7" i="3"/>
  <c r="B7" i="3"/>
  <c r="A7" i="3"/>
  <c r="T6" i="3"/>
  <c r="R6" i="3"/>
  <c r="Q6" i="3"/>
  <c r="P6" i="3"/>
  <c r="M6" i="3"/>
  <c r="L6" i="3"/>
  <c r="H6" i="3"/>
  <c r="G6" i="3"/>
  <c r="F6" i="3"/>
  <c r="B6" i="3"/>
  <c r="A6" i="3"/>
  <c r="T5" i="3"/>
  <c r="S5" i="3"/>
  <c r="R5" i="3"/>
  <c r="Q5" i="3"/>
  <c r="P5" i="3"/>
  <c r="M5" i="3"/>
  <c r="L5" i="3"/>
  <c r="K5" i="3"/>
  <c r="J5" i="3"/>
  <c r="I5" i="3"/>
  <c r="H5" i="3"/>
  <c r="G5" i="3"/>
  <c r="F5" i="3"/>
  <c r="D5" i="3"/>
  <c r="B5" i="3"/>
  <c r="A5" i="3"/>
  <c r="T4" i="3"/>
  <c r="N4" i="3"/>
  <c r="C4" i="3"/>
  <c r="B4" i="3"/>
  <c r="A4" i="3"/>
  <c r="T3" i="3"/>
  <c r="O3" i="3"/>
  <c r="N3" i="3"/>
  <c r="C3" i="3"/>
  <c r="B3" i="3"/>
  <c r="A3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T8" i="2"/>
  <c r="N8" i="2"/>
  <c r="C8" i="2"/>
  <c r="B8" i="2"/>
  <c r="A8" i="2"/>
  <c r="T7" i="2"/>
  <c r="N7" i="2"/>
  <c r="C7" i="2"/>
  <c r="B7" i="2"/>
  <c r="A7" i="2"/>
  <c r="T6" i="2"/>
  <c r="S6" i="2"/>
  <c r="R6" i="2"/>
  <c r="Q6" i="2"/>
  <c r="L6" i="2"/>
  <c r="K6" i="2"/>
  <c r="J6" i="2"/>
  <c r="I6" i="2"/>
  <c r="G6" i="2"/>
  <c r="F6" i="2"/>
  <c r="D6" i="2"/>
  <c r="B6" i="2"/>
  <c r="A6" i="2"/>
  <c r="T5" i="2"/>
  <c r="N5" i="2"/>
  <c r="C5" i="2"/>
  <c r="B5" i="2"/>
  <c r="A5" i="2"/>
  <c r="T4" i="2"/>
  <c r="N4" i="2"/>
  <c r="C4" i="2"/>
  <c r="B4" i="2"/>
  <c r="A4" i="2"/>
  <c r="T3" i="2"/>
  <c r="O3" i="2"/>
  <c r="N3" i="2"/>
  <c r="C3" i="2"/>
  <c r="B3" i="2"/>
  <c r="A3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<sst xmlns="http://schemas.openxmlformats.org/spreadsheetml/2006/main" count="3715" uniqueCount="362">
  <si>
    <t>Timestamp</t>
  </si>
  <si>
    <t>Email Address</t>
  </si>
  <si>
    <t>How many books were checked out? (will be provided monthly by ISC)</t>
  </si>
  <si>
    <t xml:space="preserve">How many classes did you collaborate with? </t>
  </si>
  <si>
    <t>Number of classes that visited the library?</t>
  </si>
  <si>
    <t>Grant dollars received</t>
  </si>
  <si>
    <t>Number of Makerspace open hours?</t>
  </si>
  <si>
    <t>Tech assistance appointments (if you spent time on it, count it)</t>
  </si>
  <si>
    <t>Which Shared Foundation was your target standard?</t>
  </si>
  <si>
    <t>Which Content Area did you collaborate with for this lesson?</t>
  </si>
  <si>
    <t>Which grade level did you collaborate with for this lesson?</t>
  </si>
  <si>
    <t>Most popular makerspace tool?</t>
  </si>
  <si>
    <t>Number of new books added?</t>
  </si>
  <si>
    <t>Sora checkouts (will be provided monthly by ISC)</t>
  </si>
  <si>
    <t>Database retrievals (will be provided monthly by ISC)</t>
  </si>
  <si>
    <t>Which community partners did you work with for this project? One partner per form, if you worked with several please enter them on separate forms. (Ex: Pioneer, League of Women Voters, Rotary, Sorority/Fraternity, etc)</t>
  </si>
  <si>
    <t>Leadership and committees I participated in this month (One per form please) Site, district, OKSL, AASL, other organizations</t>
  </si>
  <si>
    <t>Programming or Events held? Enter only one per form. Multiple events need the form filled out for each event. (Ex: Literacy night, lunch bunch, STEAM nights, book clubs, author visits, etc)</t>
  </si>
  <si>
    <t>PLCs attended (quantity only) Collaboration</t>
  </si>
  <si>
    <t xml:space="preserve">Library </t>
  </si>
  <si>
    <t>Makerspace appointments</t>
  </si>
  <si>
    <t>Out of contract time spent at meetings</t>
  </si>
  <si>
    <t>During school hours non-library duty</t>
  </si>
  <si>
    <t>akordelis2@normanps.org</t>
  </si>
  <si>
    <t>Inquire</t>
  </si>
  <si>
    <t>ELA</t>
  </si>
  <si>
    <t>Prek</t>
  </si>
  <si>
    <t>Air Dry Clay</t>
  </si>
  <si>
    <t>Pioneer</t>
  </si>
  <si>
    <t>OLA</t>
  </si>
  <si>
    <t>Literacy Night</t>
  </si>
  <si>
    <t>Adams</t>
  </si>
  <si>
    <t>Eisenhower</t>
  </si>
  <si>
    <t>Norman North</t>
  </si>
  <si>
    <t>bbozarth@normanps.org</t>
  </si>
  <si>
    <t>Explore</t>
  </si>
  <si>
    <t>Math</t>
  </si>
  <si>
    <t>Tenth</t>
  </si>
  <si>
    <t>Stop Motion</t>
  </si>
  <si>
    <t>Alcott</t>
  </si>
  <si>
    <t>Seventh</t>
  </si>
  <si>
    <t>Eighth</t>
  </si>
  <si>
    <t>Cleveland</t>
  </si>
  <si>
    <t>Jackson</t>
  </si>
  <si>
    <t>Jefferson</t>
  </si>
  <si>
    <t>Kennedy</t>
  </si>
  <si>
    <t>Lakeview</t>
  </si>
  <si>
    <t>mpangburn@normanps.org</t>
  </si>
  <si>
    <t>button maker</t>
  </si>
  <si>
    <t>Pioneer Library System</t>
  </si>
  <si>
    <t>Norman High</t>
  </si>
  <si>
    <t>sschrank@normanps.org</t>
  </si>
  <si>
    <t>Irving</t>
  </si>
  <si>
    <t>Longfellow</t>
  </si>
  <si>
    <t>Whittier</t>
  </si>
  <si>
    <t>Lincoln</t>
  </si>
  <si>
    <t>Madison</t>
  </si>
  <si>
    <t>McKinley</t>
  </si>
  <si>
    <t>Monroe</t>
  </si>
  <si>
    <t>Reagan</t>
  </si>
  <si>
    <t>Roosevelt</t>
  </si>
  <si>
    <t>Truman Primary</t>
  </si>
  <si>
    <t>Truman</t>
  </si>
  <si>
    <t>Washington</t>
  </si>
  <si>
    <t>Wilson</t>
  </si>
  <si>
    <t>Direct Instruction</t>
  </si>
  <si>
    <t>Elementary multi-grade class</t>
  </si>
  <si>
    <t>Dimensions</t>
  </si>
  <si>
    <t>AP Seminar visit to OU Bizzell Library</t>
  </si>
  <si>
    <t>kathrynes2@normanps.org</t>
  </si>
  <si>
    <t>Art</t>
  </si>
  <si>
    <t>Button Maker</t>
  </si>
  <si>
    <t>Sequoyah</t>
  </si>
  <si>
    <t>Book Club</t>
  </si>
  <si>
    <t>Leadership</t>
  </si>
  <si>
    <t>PLC Guiding Coalition</t>
  </si>
  <si>
    <t>Curate</t>
  </si>
  <si>
    <t>Social Studies</t>
  </si>
  <si>
    <t>Sixth</t>
  </si>
  <si>
    <t>mtahmahkera2@normanps.org</t>
  </si>
  <si>
    <t>Perler Beads</t>
  </si>
  <si>
    <t>Irving Leadership Committee</t>
  </si>
  <si>
    <t>Include</t>
  </si>
  <si>
    <t>Autism/SPED multi-level middle school</t>
  </si>
  <si>
    <t>Engage</t>
  </si>
  <si>
    <t>3-D printer, perler beads</t>
  </si>
  <si>
    <t>OU Libraries</t>
  </si>
  <si>
    <t>OU SLIS Alumni Board</t>
  </si>
  <si>
    <t>Library Recess</t>
  </si>
  <si>
    <t>Sequoyah Book Club</t>
  </si>
  <si>
    <t>Oklahoma Historical Society</t>
  </si>
  <si>
    <t>ksmith8@normanps.org</t>
  </si>
  <si>
    <t>Pioneer Library System Norman Public Library West</t>
  </si>
  <si>
    <t>OKSL Leadership Meeting as Past Chair</t>
  </si>
  <si>
    <t>9th Grade Library Orientations</t>
  </si>
  <si>
    <t>AASL Committee Chair Meeting as Best Digital Tools Committee Chair</t>
  </si>
  <si>
    <t>ML3 Advisory Board Meeting</t>
  </si>
  <si>
    <t>HS multi-grade class</t>
  </si>
  <si>
    <t>3D Printing</t>
  </si>
  <si>
    <t>OLA Executive Board Meeting as Secretary</t>
  </si>
  <si>
    <t>Twelfth</t>
  </si>
  <si>
    <t>Ninth</t>
  </si>
  <si>
    <t>Collaborate</t>
  </si>
  <si>
    <t>Science</t>
  </si>
  <si>
    <t>EL</t>
  </si>
  <si>
    <t>Audio Lab</t>
  </si>
  <si>
    <t>North Academic Council as Library/Media/Department Chair</t>
  </si>
  <si>
    <t>Art Supplies</t>
  </si>
  <si>
    <t>North Advisory Lead Meeting as 9th Grade Advisory Lead</t>
  </si>
  <si>
    <t>Cricut</t>
  </si>
  <si>
    <t>North New Teacher Meetings as North New Teacher Liaison</t>
  </si>
  <si>
    <t>Cardboard</t>
  </si>
  <si>
    <t>Pioneer Library System Norman Public Library East</t>
  </si>
  <si>
    <t>Sewing Supplies</t>
  </si>
  <si>
    <t>Pioneer Library System Library Lab</t>
  </si>
  <si>
    <t>AP Research Field Trip</t>
  </si>
  <si>
    <t>League of Women Voters</t>
  </si>
  <si>
    <t>Voter Registration Drive</t>
  </si>
  <si>
    <t>rpenner@normanps.org</t>
  </si>
  <si>
    <t>Pony Beads</t>
  </si>
  <si>
    <t>EL Night</t>
  </si>
  <si>
    <t>matthewb@normanps.org</t>
  </si>
  <si>
    <t>Culture and Climate Committee</t>
  </si>
  <si>
    <t>blove@normanps.org</t>
  </si>
  <si>
    <t>Music</t>
  </si>
  <si>
    <t>3D Pens</t>
  </si>
  <si>
    <t>MTSS</t>
  </si>
  <si>
    <t>SWIFT</t>
  </si>
  <si>
    <t>School Climate and Culture</t>
  </si>
  <si>
    <t>OKSL Marketing Committee</t>
  </si>
  <si>
    <t>AASL Member Engagement</t>
  </si>
  <si>
    <t>ttoquinto@normanps.org</t>
  </si>
  <si>
    <t>3d pen and Beast of Balance</t>
  </si>
  <si>
    <t>Superintendent's Leadership Council</t>
  </si>
  <si>
    <t>Bilingual Storytime with Latinx Kidlit Book Festival</t>
  </si>
  <si>
    <t>lcollings@normanps.org</t>
  </si>
  <si>
    <t>LEGO Coding Express</t>
  </si>
  <si>
    <t>Recess Clubs--LEGO Club</t>
  </si>
  <si>
    <t>Second</t>
  </si>
  <si>
    <t>First</t>
  </si>
  <si>
    <t>Kindergarten</t>
  </si>
  <si>
    <t>mmairet@normanps.org</t>
  </si>
  <si>
    <t>Fifth</t>
  </si>
  <si>
    <t>Puzzles</t>
  </si>
  <si>
    <t>Norman NEXT</t>
  </si>
  <si>
    <t>I Spy trophy case</t>
  </si>
  <si>
    <t>Third</t>
  </si>
  <si>
    <t>Superintendent's Executive Leadership Council</t>
  </si>
  <si>
    <t>Book Subscription</t>
  </si>
  <si>
    <t>charlottef@normanps.org</t>
  </si>
  <si>
    <t>Legos</t>
  </si>
  <si>
    <t>Fourth</t>
  </si>
  <si>
    <t>Autism/SPED multi-level elementary</t>
  </si>
  <si>
    <t>Pioneer Library</t>
  </si>
  <si>
    <t>coloring page</t>
  </si>
  <si>
    <t>NPS Prevention Lead Committee</t>
  </si>
  <si>
    <t>3D Printer</t>
  </si>
  <si>
    <t>Leadership Committee</t>
  </si>
  <si>
    <t>MS multi-grade class</t>
  </si>
  <si>
    <t>Autism/SPED multi-level high school</t>
  </si>
  <si>
    <t>OU SLIS</t>
  </si>
  <si>
    <t>Guest Lecture</t>
  </si>
  <si>
    <t>UCO Library/Media</t>
  </si>
  <si>
    <t>AP Seminar Field Trip</t>
  </si>
  <si>
    <t>Eleventh</t>
  </si>
  <si>
    <t>Makerspace Open Hours Visits</t>
  </si>
  <si>
    <t>Fine Arts Friday</t>
  </si>
  <si>
    <t>Faculty/Staff Book Club</t>
  </si>
  <si>
    <t>NNHS Community Breakfast</t>
  </si>
  <si>
    <t>NPS Foundation Community Tour</t>
  </si>
  <si>
    <t>Breaking Down the Walls</t>
  </si>
  <si>
    <t>shrinky dinks</t>
  </si>
  <si>
    <t>string figures</t>
  </si>
  <si>
    <t>PLS</t>
  </si>
  <si>
    <t>mchase2@normanps.org</t>
  </si>
  <si>
    <t>3D pens</t>
  </si>
  <si>
    <t>LMS Instructional Leadership Team</t>
  </si>
  <si>
    <t>AASL</t>
  </si>
  <si>
    <t>rgordon@normanps.org</t>
  </si>
  <si>
    <t>Site Leadership PLC</t>
  </si>
  <si>
    <t>Hispanic Heritage Month with Dr.Torres</t>
  </si>
  <si>
    <t>Dr.Heidi Torres</t>
  </si>
  <si>
    <t>Learning Bus</t>
  </si>
  <si>
    <t xml:space="preserve">Giant Map Week </t>
  </si>
  <si>
    <t xml:space="preserve">Obstacle Course for Prek-2nd with Pioneer </t>
  </si>
  <si>
    <t>Cardboard Tubes</t>
  </si>
  <si>
    <t>Pumpkin Book Character Contest</t>
  </si>
  <si>
    <t>Board games</t>
  </si>
  <si>
    <t>Staff Success and Communications</t>
  </si>
  <si>
    <t xml:space="preserve">Makerspace Open Hours Visits </t>
  </si>
  <si>
    <t>Pioneer Maker Library Recess</t>
  </si>
  <si>
    <t>Popsicle sticks</t>
  </si>
  <si>
    <t>Thunder Book Bus</t>
  </si>
  <si>
    <t>Multicultural Fair</t>
  </si>
  <si>
    <t xml:space="preserve">Superintendent's Executive Committee  </t>
  </si>
  <si>
    <t>Parent Teacher Conferences</t>
  </si>
  <si>
    <t xml:space="preserve">OU Libraries </t>
  </si>
  <si>
    <t>OU Comp 1 Field Trip</t>
  </si>
  <si>
    <t xml:space="preserve"> Alabaster State Park</t>
  </si>
  <si>
    <t>Virtual Author Visit</t>
  </si>
  <si>
    <t>Bat Grotto</t>
  </si>
  <si>
    <t>Book Fair</t>
  </si>
  <si>
    <t>Sequoyah Meeting</t>
  </si>
  <si>
    <t>Table Top Club</t>
  </si>
  <si>
    <t>3D Pen</t>
  </si>
  <si>
    <t>Art Journaling Class</t>
  </si>
  <si>
    <t>Computer Science</t>
  </si>
  <si>
    <t>7th Grade Book Club</t>
  </si>
  <si>
    <t>Beads</t>
  </si>
  <si>
    <t>Rotary Club</t>
  </si>
  <si>
    <t>Superintendent Executive Leadership Meeting</t>
  </si>
  <si>
    <t>Math/Science Night</t>
  </si>
  <si>
    <t>Zoob builder</t>
  </si>
  <si>
    <t>Sensory Storytime</t>
  </si>
  <si>
    <t>Global-Read Aloud</t>
  </si>
  <si>
    <t>Popsicle Sticks</t>
  </si>
  <si>
    <t>Career Day</t>
  </si>
  <si>
    <t>legos</t>
  </si>
  <si>
    <t>Plus-plus</t>
  </si>
  <si>
    <t>8th Grade Bookclub</t>
  </si>
  <si>
    <t>AP Research visit to OU Bizzell Library</t>
  </si>
  <si>
    <t>Makerspace Open Hours with Pioneer</t>
  </si>
  <si>
    <t>1st and 2nd grade book clubs</t>
  </si>
  <si>
    <t>jamih@normanps.org</t>
  </si>
  <si>
    <t>play-doh</t>
  </si>
  <si>
    <t>Scholastic Book Fair</t>
  </si>
  <si>
    <t>Sequoyah Read Around</t>
  </si>
  <si>
    <t>Storybook Pumpkin Contest</t>
  </si>
  <si>
    <t>Dead Center Film Festival</t>
  </si>
  <si>
    <t>STEM Tank</t>
  </si>
  <si>
    <t>Touch-A-Truck</t>
  </si>
  <si>
    <t>OKSL</t>
  </si>
  <si>
    <t>Longfellow Instructional Leadership Team</t>
  </si>
  <si>
    <t>Longfellow Climate and Culture Team</t>
  </si>
  <si>
    <t>STEAM Night</t>
  </si>
  <si>
    <t>Shrinky Dinks</t>
  </si>
  <si>
    <t>Leadership Meeting</t>
  </si>
  <si>
    <t>Fine Arts (Debate, Acting, etc)</t>
  </si>
  <si>
    <t>sringus@normanps.org</t>
  </si>
  <si>
    <t>Keva planks</t>
  </si>
  <si>
    <t>OLA CPC</t>
  </si>
  <si>
    <t>lcarter@normanps.org</t>
  </si>
  <si>
    <t>Legos &amp; Stick Together</t>
  </si>
  <si>
    <t>Site Climate, Culture and Community (CCC) Committee</t>
  </si>
  <si>
    <t>Storybook Pumpkin Display</t>
  </si>
  <si>
    <t>danap@normanps.org</t>
  </si>
  <si>
    <t>peg wall</t>
  </si>
  <si>
    <t>4th and 5th grade Tinker Tuesday with Pioneer Library</t>
  </si>
  <si>
    <t>Friendship Bracelets</t>
  </si>
  <si>
    <t>7 grade levels</t>
  </si>
  <si>
    <t>24 hours</t>
  </si>
  <si>
    <t>n/a</t>
  </si>
  <si>
    <t>Lincoln Reads Night</t>
  </si>
  <si>
    <t>OKSL Membership Meeting</t>
  </si>
  <si>
    <t>Lincoln Climate and Culture</t>
  </si>
  <si>
    <t>Pix Brix</t>
  </si>
  <si>
    <t>Holiday Art Night</t>
  </si>
  <si>
    <t>Artistic Markers</t>
  </si>
  <si>
    <t>Fall BookFair</t>
  </si>
  <si>
    <t>Pom poms</t>
  </si>
  <si>
    <t>FACS</t>
  </si>
  <si>
    <t>3D printer</t>
  </si>
  <si>
    <t>Norman City Library Board</t>
  </si>
  <si>
    <t>STEM activity</t>
  </si>
  <si>
    <t>NPS Citizens Advisory</t>
  </si>
  <si>
    <t>mdettmann@normanps.org</t>
  </si>
  <si>
    <t>JEA</t>
  </si>
  <si>
    <t>perler beads</t>
  </si>
  <si>
    <t>rotary club</t>
  </si>
  <si>
    <t xml:space="preserve">Superintendents Executive Council </t>
  </si>
  <si>
    <t>making crayons</t>
  </si>
  <si>
    <t>lparsons@normanps.org</t>
  </si>
  <si>
    <t>Pk-5 equals 18 teachers</t>
  </si>
  <si>
    <t>None</t>
  </si>
  <si>
    <t>We had a full week of MakerSpace activities which included all grades</t>
  </si>
  <si>
    <t>4 hours</t>
  </si>
  <si>
    <t xml:space="preserve">Awbies </t>
  </si>
  <si>
    <t>61 since beginning of school.  I did not include books ordered and received last Spring</t>
  </si>
  <si>
    <t>Site Energy Coach, Site Pen Rep, Site MTSS committee</t>
  </si>
  <si>
    <t>Online Author Visits, SteamTank</t>
  </si>
  <si>
    <t>Book Break Author Visits</t>
  </si>
  <si>
    <t>Schoolwide Hour of Code</t>
  </si>
  <si>
    <t xml:space="preserve">OKSTE presentation </t>
  </si>
  <si>
    <t>Native American History Month with Dr.Torres</t>
  </si>
  <si>
    <t>Makerspace Day with Pioneer Library System</t>
  </si>
  <si>
    <t>Beebots with Pioneer</t>
  </si>
  <si>
    <t>bmueller@normanps.org</t>
  </si>
  <si>
    <t>Many</t>
  </si>
  <si>
    <t>Energy Committee</t>
  </si>
  <si>
    <t>STEM night</t>
  </si>
  <si>
    <t>OKSL Board Meeting</t>
  </si>
  <si>
    <t>Soupstone Release Party</t>
  </si>
  <si>
    <t>Whittier Book Club</t>
  </si>
  <si>
    <t>Sequoyah Committee</t>
  </si>
  <si>
    <t>BAM Subscription</t>
  </si>
  <si>
    <t>juliek@normanps.org</t>
  </si>
  <si>
    <t>about 550</t>
  </si>
  <si>
    <t>Texas Women's University, Project Look Sharp, other NPS librarians</t>
  </si>
  <si>
    <t>Sequoyah Reading Team (education consultant), Norman Public Schools Climate and Culture Committee</t>
  </si>
  <si>
    <t>Family Engagement Night</t>
  </si>
  <si>
    <t>4th Grade Sequoyah Lunch Bunch</t>
  </si>
  <si>
    <t>Library outreach STEAM challenges</t>
  </si>
  <si>
    <t>PTA</t>
  </si>
  <si>
    <t>Aubie Coding</t>
  </si>
  <si>
    <t>Climate and Culture Committee, Norman Public Schools</t>
  </si>
  <si>
    <t>Winter Maker Space</t>
  </si>
  <si>
    <t>curtist@normanps.org</t>
  </si>
  <si>
    <t>book club</t>
  </si>
  <si>
    <t>melting snowmen</t>
  </si>
  <si>
    <t>Resource Nights (x 10)</t>
  </si>
  <si>
    <t>Storybook STEM</t>
  </si>
  <si>
    <t>Home Visits</t>
  </si>
  <si>
    <t>Hour of Code</t>
  </si>
  <si>
    <t>Storybook Pumpkins</t>
  </si>
  <si>
    <t>Mock Voting</t>
  </si>
  <si>
    <t>Enrichment lead on site</t>
  </si>
  <si>
    <t>SPED/CREW Makerspace</t>
  </si>
  <si>
    <t>pipe cleaners</t>
  </si>
  <si>
    <t>Spelling Bee</t>
  </si>
  <si>
    <t>GT Site Committee</t>
  </si>
  <si>
    <t>Kindness Week Service Project School-Wide Art</t>
  </si>
  <si>
    <t>12 Days of Books</t>
  </si>
  <si>
    <t>Picture Book Party</t>
  </si>
  <si>
    <t>Recess Clubs--Coding Club</t>
  </si>
  <si>
    <t>Osmo Pizza Co.</t>
  </si>
  <si>
    <t>poster printer</t>
  </si>
  <si>
    <t>Pipe cleaners</t>
  </si>
  <si>
    <t>Pioneer Library System Norman Public Library West SPED/CREW Makerspace</t>
  </si>
  <si>
    <t>Site leadership</t>
  </si>
  <si>
    <t>Latinx Kid Lit Book Festival</t>
  </si>
  <si>
    <t>Author/illustrator visit</t>
  </si>
  <si>
    <t>author visit</t>
  </si>
  <si>
    <t>Oklahoma Library Association</t>
  </si>
  <si>
    <t>Sequoyah children's reading team</t>
  </si>
  <si>
    <t>Presentation at the OLA state conference</t>
  </si>
  <si>
    <t>photo booth</t>
  </si>
  <si>
    <t>Rotary</t>
  </si>
  <si>
    <t>Conferences</t>
  </si>
  <si>
    <t>Sensory Bin</t>
  </si>
  <si>
    <t>STEAM Tank</t>
  </si>
  <si>
    <t>The School of Meteorology at the University of Oklahoma</t>
  </si>
  <si>
    <t>Winter Reading Challenge Bingo PK-2nd</t>
  </si>
  <si>
    <t>paint</t>
  </si>
  <si>
    <t>clay</t>
  </si>
  <si>
    <t>Curriculum Council</t>
  </si>
  <si>
    <t>AASL Toor Scholarship Committee</t>
  </si>
  <si>
    <t>Will Rogers Museum- Bart Taylor</t>
  </si>
  <si>
    <t>University of Oklahoma</t>
  </si>
  <si>
    <t>Bart Taylor- Will Rogers Museum</t>
  </si>
  <si>
    <t>Meteorologist Visit- Dr. Cameron R. Homeyer</t>
  </si>
  <si>
    <t>Family Engagement Night- The Great Mathemachicken book</t>
  </si>
  <si>
    <t>Big Map with GT</t>
  </si>
  <si>
    <t xml:space="preserve">SPED/CREW Makerspace </t>
  </si>
  <si>
    <t>Read Across America</t>
  </si>
  <si>
    <t>OLA Conference</t>
  </si>
  <si>
    <t>Planetarium</t>
  </si>
  <si>
    <t>Construction paper</t>
  </si>
  <si>
    <t>Geography Bee</t>
  </si>
  <si>
    <t>Pattern scissors</t>
  </si>
  <si>
    <t>Maker May</t>
  </si>
  <si>
    <t xml:space="preserve">Washington 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</si>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</sst>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&quot;$&quot;#,##0"/>
    <numFmt numFmtId="166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84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9" width="18.83203125" customWidth="1"/>
  </cols>
  <sheetData>
    <row r="1" spans="1:3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 x14ac:dyDescent="0.15">
      <c r="A2" s="2">
        <v>45457.381630763892</v>
      </c>
      <c r="B2" s="3" t="s">
        <v>23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 t="s">
        <v>24</v>
      </c>
      <c r="J2" s="3" t="s">
        <v>25</v>
      </c>
      <c r="K2" s="3" t="s">
        <v>26</v>
      </c>
      <c r="L2" s="3" t="s">
        <v>27</v>
      </c>
      <c r="M2" s="3">
        <v>1</v>
      </c>
      <c r="N2" s="3">
        <v>1</v>
      </c>
      <c r="O2" s="3">
        <v>1</v>
      </c>
      <c r="P2" s="3" t="s">
        <v>28</v>
      </c>
      <c r="Q2" s="3" t="s">
        <v>29</v>
      </c>
      <c r="R2" s="3" t="s">
        <v>30</v>
      </c>
      <c r="S2" s="3">
        <v>1</v>
      </c>
      <c r="T2" s="3" t="s">
        <v>31</v>
      </c>
      <c r="U2" s="3"/>
      <c r="V2" s="3"/>
      <c r="W2" s="3"/>
    </row>
    <row r="3" spans="1:39" ht="15.75" customHeight="1" x14ac:dyDescent="0.15">
      <c r="A3" s="2">
        <v>45457.382220046296</v>
      </c>
      <c r="B3" s="3" t="s">
        <v>23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 t="s">
        <v>24</v>
      </c>
      <c r="J3" s="3" t="s">
        <v>25</v>
      </c>
      <c r="K3" s="3" t="s">
        <v>26</v>
      </c>
      <c r="L3" s="3" t="s">
        <v>27</v>
      </c>
      <c r="M3" s="3">
        <v>1</v>
      </c>
      <c r="N3" s="3">
        <v>1</v>
      </c>
      <c r="O3" s="3">
        <v>1</v>
      </c>
      <c r="P3" s="3" t="s">
        <v>28</v>
      </c>
      <c r="Q3" s="3" t="s">
        <v>29</v>
      </c>
      <c r="R3" s="3" t="s">
        <v>30</v>
      </c>
      <c r="S3" s="3">
        <v>1</v>
      </c>
      <c r="T3" s="3" t="s">
        <v>32</v>
      </c>
      <c r="U3" s="3"/>
      <c r="V3" s="3"/>
      <c r="W3" s="3"/>
    </row>
    <row r="4" spans="1:39" ht="15.75" customHeight="1" x14ac:dyDescent="0.15">
      <c r="A4" s="2">
        <v>45497.580940509259</v>
      </c>
      <c r="B4" s="3" t="s">
        <v>23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 t="s">
        <v>24</v>
      </c>
      <c r="J4" s="3" t="s">
        <v>25</v>
      </c>
      <c r="K4" s="3" t="s">
        <v>26</v>
      </c>
      <c r="L4" s="3" t="s">
        <v>27</v>
      </c>
      <c r="M4" s="3">
        <v>1</v>
      </c>
      <c r="N4" s="3">
        <v>1</v>
      </c>
      <c r="O4" s="3">
        <v>1</v>
      </c>
      <c r="P4" s="3" t="s">
        <v>28</v>
      </c>
      <c r="Q4" s="3" t="s">
        <v>29</v>
      </c>
      <c r="R4" s="3" t="s">
        <v>30</v>
      </c>
      <c r="S4" s="3">
        <v>1</v>
      </c>
      <c r="T4" s="3" t="s">
        <v>33</v>
      </c>
      <c r="U4" s="3"/>
      <c r="V4" s="3"/>
      <c r="W4" s="3"/>
    </row>
    <row r="5" spans="1:39" ht="15.75" customHeight="1" x14ac:dyDescent="0.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15.75" customHeight="1" x14ac:dyDescent="0.15">
      <c r="A6" s="4">
        <v>45506.421928229167</v>
      </c>
      <c r="B6" s="5" t="s">
        <v>34</v>
      </c>
      <c r="C6" s="5">
        <v>9</v>
      </c>
      <c r="D6" s="5">
        <v>15</v>
      </c>
      <c r="E6" s="5">
        <v>43</v>
      </c>
      <c r="F6" s="5">
        <v>4</v>
      </c>
      <c r="G6" s="5">
        <v>6</v>
      </c>
      <c r="H6" s="5"/>
      <c r="I6" s="5" t="s">
        <v>35</v>
      </c>
      <c r="J6" s="5" t="s">
        <v>36</v>
      </c>
      <c r="K6" s="5" t="s">
        <v>37</v>
      </c>
      <c r="L6" s="5" t="s">
        <v>38</v>
      </c>
      <c r="M6" s="5">
        <v>4</v>
      </c>
      <c r="N6" s="5">
        <v>25</v>
      </c>
      <c r="O6" s="5">
        <v>4</v>
      </c>
      <c r="P6" s="5" t="s">
        <v>28</v>
      </c>
      <c r="Q6" s="5" t="s">
        <v>29</v>
      </c>
      <c r="R6" s="5" t="s">
        <v>30</v>
      </c>
      <c r="S6" s="5">
        <v>1</v>
      </c>
      <c r="T6" s="5" t="s">
        <v>39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15.75" customHeight="1" x14ac:dyDescent="0.15">
      <c r="A7" s="4">
        <v>45520.515924837964</v>
      </c>
      <c r="B7" s="5" t="s">
        <v>34</v>
      </c>
      <c r="C7" s="5">
        <v>9</v>
      </c>
      <c r="D7" s="5">
        <v>1</v>
      </c>
      <c r="E7" s="5">
        <v>2</v>
      </c>
      <c r="F7" s="5">
        <v>5</v>
      </c>
      <c r="G7" s="5">
        <v>5</v>
      </c>
      <c r="H7" s="5"/>
      <c r="I7" s="5" t="s">
        <v>35</v>
      </c>
      <c r="J7" s="5" t="s">
        <v>25</v>
      </c>
      <c r="K7" s="5" t="s">
        <v>40</v>
      </c>
      <c r="L7" s="5" t="s">
        <v>38</v>
      </c>
      <c r="M7" s="5">
        <v>3</v>
      </c>
      <c r="N7" s="5">
        <v>26</v>
      </c>
      <c r="O7" s="5">
        <v>4</v>
      </c>
      <c r="P7" s="5" t="s">
        <v>28</v>
      </c>
      <c r="Q7" s="5" t="s">
        <v>29</v>
      </c>
      <c r="R7" s="5" t="s">
        <v>30</v>
      </c>
      <c r="S7" s="5">
        <v>1</v>
      </c>
      <c r="T7" s="5" t="s">
        <v>39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5.75" customHeight="1" x14ac:dyDescent="0.15">
      <c r="A8" s="4">
        <v>45527.400157511569</v>
      </c>
      <c r="B8" s="5" t="s">
        <v>34</v>
      </c>
      <c r="C8" s="5">
        <v>7</v>
      </c>
      <c r="D8" s="5">
        <v>4</v>
      </c>
      <c r="E8" s="5">
        <v>13</v>
      </c>
      <c r="F8" s="5">
        <v>6</v>
      </c>
      <c r="G8" s="5">
        <v>4</v>
      </c>
      <c r="H8" s="5"/>
      <c r="I8" s="5" t="s">
        <v>35</v>
      </c>
      <c r="J8" s="5" t="s">
        <v>25</v>
      </c>
      <c r="K8" s="5" t="s">
        <v>40</v>
      </c>
      <c r="L8" s="5" t="s">
        <v>38</v>
      </c>
      <c r="M8" s="5">
        <v>17</v>
      </c>
      <c r="N8" s="5">
        <v>26</v>
      </c>
      <c r="O8" s="5">
        <v>4</v>
      </c>
      <c r="P8" s="5" t="s">
        <v>28</v>
      </c>
      <c r="Q8" s="5" t="s">
        <v>29</v>
      </c>
      <c r="R8" s="5" t="s">
        <v>30</v>
      </c>
      <c r="S8" s="5">
        <v>1</v>
      </c>
      <c r="T8" s="5" t="s">
        <v>39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15.75" customHeight="1" x14ac:dyDescent="0.15">
      <c r="A9" s="4">
        <v>45527.400427280096</v>
      </c>
      <c r="B9" s="5" t="s">
        <v>34</v>
      </c>
      <c r="C9" s="5">
        <v>6</v>
      </c>
      <c r="D9" s="5"/>
      <c r="E9" s="5">
        <v>1</v>
      </c>
      <c r="F9" s="5">
        <v>6</v>
      </c>
      <c r="G9" s="5">
        <v>3</v>
      </c>
      <c r="H9" s="5"/>
      <c r="I9" s="5" t="s">
        <v>35</v>
      </c>
      <c r="J9" s="5" t="s">
        <v>25</v>
      </c>
      <c r="K9" s="5" t="s">
        <v>41</v>
      </c>
      <c r="L9" s="5" t="s">
        <v>38</v>
      </c>
      <c r="M9" s="5">
        <v>23</v>
      </c>
      <c r="N9" s="5">
        <v>26</v>
      </c>
      <c r="O9" s="5">
        <v>4</v>
      </c>
      <c r="P9" s="5" t="s">
        <v>28</v>
      </c>
      <c r="Q9" s="5" t="s">
        <v>29</v>
      </c>
      <c r="R9" s="5" t="s">
        <v>30</v>
      </c>
      <c r="S9" s="5">
        <v>1</v>
      </c>
      <c r="T9" s="5" t="s">
        <v>39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ht="15.75" customHeight="1" x14ac:dyDescent="0.15">
      <c r="A10" s="2">
        <v>45527.586840219912</v>
      </c>
      <c r="B10" s="3" t="s">
        <v>23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 t="s">
        <v>24</v>
      </c>
      <c r="J10" s="3" t="s">
        <v>25</v>
      </c>
      <c r="K10" s="3" t="s">
        <v>26</v>
      </c>
      <c r="L10" s="3" t="s">
        <v>27</v>
      </c>
      <c r="M10" s="3">
        <v>1</v>
      </c>
      <c r="N10" s="3">
        <v>1</v>
      </c>
      <c r="O10" s="3">
        <v>1</v>
      </c>
      <c r="P10" s="3" t="s">
        <v>28</v>
      </c>
      <c r="Q10" s="3" t="s">
        <v>29</v>
      </c>
      <c r="R10" s="3" t="s">
        <v>30</v>
      </c>
      <c r="S10" s="3">
        <v>1</v>
      </c>
      <c r="T10" s="3" t="s">
        <v>42</v>
      </c>
      <c r="U10" s="3"/>
      <c r="V10" s="3"/>
      <c r="W10" s="3"/>
    </row>
    <row r="11" spans="1:39" ht="15.75" customHeight="1" x14ac:dyDescent="0.15">
      <c r="A11" s="2">
        <v>45527.587739062496</v>
      </c>
      <c r="B11" s="3" t="s">
        <v>23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 t="s">
        <v>24</v>
      </c>
      <c r="J11" s="3" t="s">
        <v>25</v>
      </c>
      <c r="K11" s="3" t="s">
        <v>26</v>
      </c>
      <c r="L11" s="3" t="s">
        <v>27</v>
      </c>
      <c r="M11" s="3">
        <v>1</v>
      </c>
      <c r="N11" s="3">
        <v>1</v>
      </c>
      <c r="O11" s="3">
        <v>1</v>
      </c>
      <c r="P11" s="3" t="s">
        <v>28</v>
      </c>
      <c r="Q11" s="3" t="s">
        <v>29</v>
      </c>
      <c r="R11" s="3" t="s">
        <v>30</v>
      </c>
      <c r="S11" s="3">
        <v>1</v>
      </c>
      <c r="T11" s="3" t="s">
        <v>32</v>
      </c>
      <c r="U11" s="3"/>
      <c r="V11" s="3"/>
      <c r="W11" s="3"/>
    </row>
    <row r="12" spans="1:39" ht="15.75" customHeight="1" x14ac:dyDescent="0.15">
      <c r="A12" s="2">
        <v>45527.595757986113</v>
      </c>
      <c r="B12" s="3" t="s">
        <v>23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 t="s">
        <v>24</v>
      </c>
      <c r="J12" s="3" t="s">
        <v>25</v>
      </c>
      <c r="K12" s="3" t="s">
        <v>26</v>
      </c>
      <c r="L12" s="3" t="s">
        <v>27</v>
      </c>
      <c r="M12" s="3">
        <v>1</v>
      </c>
      <c r="N12" s="3">
        <v>1</v>
      </c>
      <c r="O12" s="3">
        <v>1</v>
      </c>
      <c r="P12" s="3" t="s">
        <v>28</v>
      </c>
      <c r="Q12" s="3" t="s">
        <v>29</v>
      </c>
      <c r="R12" s="3" t="s">
        <v>30</v>
      </c>
      <c r="S12" s="3">
        <v>1</v>
      </c>
      <c r="T12" s="3" t="s">
        <v>32</v>
      </c>
      <c r="U12" s="3"/>
      <c r="V12" s="3"/>
      <c r="W12" s="3"/>
    </row>
    <row r="13" spans="1:39" ht="15.75" customHeight="1" x14ac:dyDescent="0.15">
      <c r="A13" s="2">
        <v>45527.596120439819</v>
      </c>
      <c r="B13" s="3" t="s">
        <v>23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 t="s">
        <v>24</v>
      </c>
      <c r="J13" s="3" t="s">
        <v>25</v>
      </c>
      <c r="K13" s="3" t="s">
        <v>26</v>
      </c>
      <c r="L13" s="3" t="s">
        <v>27</v>
      </c>
      <c r="M13" s="3">
        <v>1</v>
      </c>
      <c r="N13" s="3">
        <v>1</v>
      </c>
      <c r="O13" s="3">
        <v>1</v>
      </c>
      <c r="P13" s="3" t="s">
        <v>28</v>
      </c>
      <c r="Q13" s="3" t="s">
        <v>29</v>
      </c>
      <c r="R13" s="3" t="s">
        <v>30</v>
      </c>
      <c r="S13" s="3">
        <v>1</v>
      </c>
      <c r="T13" s="3" t="s">
        <v>43</v>
      </c>
      <c r="U13" s="3"/>
      <c r="V13" s="3"/>
      <c r="W13" s="3"/>
    </row>
    <row r="14" spans="1:39" ht="15.75" customHeight="1" x14ac:dyDescent="0.15">
      <c r="A14" s="2">
        <v>45527.596508402778</v>
      </c>
      <c r="B14" s="3" t="s">
        <v>23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 t="s">
        <v>24</v>
      </c>
      <c r="J14" s="3" t="s">
        <v>25</v>
      </c>
      <c r="K14" s="3" t="s">
        <v>26</v>
      </c>
      <c r="L14" s="3" t="s">
        <v>27</v>
      </c>
      <c r="M14" s="3">
        <v>1</v>
      </c>
      <c r="N14" s="3">
        <v>1</v>
      </c>
      <c r="O14" s="3">
        <v>1</v>
      </c>
      <c r="P14" s="3" t="s">
        <v>28</v>
      </c>
      <c r="Q14" s="3" t="s">
        <v>29</v>
      </c>
      <c r="R14" s="3" t="s">
        <v>30</v>
      </c>
      <c r="S14" s="3">
        <v>1</v>
      </c>
      <c r="T14" s="3" t="s">
        <v>44</v>
      </c>
      <c r="U14" s="3"/>
      <c r="V14" s="3"/>
      <c r="W14" s="3"/>
    </row>
    <row r="15" spans="1:39" ht="15.75" customHeight="1" x14ac:dyDescent="0.15">
      <c r="A15" s="2">
        <v>45527.596897430558</v>
      </c>
      <c r="B15" s="3" t="s">
        <v>23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 t="s">
        <v>24</v>
      </c>
      <c r="J15" s="3" t="s">
        <v>25</v>
      </c>
      <c r="K15" s="3" t="s">
        <v>26</v>
      </c>
      <c r="L15" s="3" t="s">
        <v>27</v>
      </c>
      <c r="M15" s="3">
        <v>1</v>
      </c>
      <c r="N15" s="3">
        <v>1</v>
      </c>
      <c r="O15" s="3">
        <v>1</v>
      </c>
      <c r="P15" s="3" t="s">
        <v>28</v>
      </c>
      <c r="Q15" s="3" t="s">
        <v>29</v>
      </c>
      <c r="R15" s="3" t="s">
        <v>30</v>
      </c>
      <c r="S15" s="3">
        <v>1</v>
      </c>
      <c r="T15" s="3" t="s">
        <v>45</v>
      </c>
      <c r="U15" s="3"/>
      <c r="V15" s="3"/>
      <c r="W15" s="3"/>
    </row>
    <row r="16" spans="1:39" ht="15.75" customHeight="1" x14ac:dyDescent="0.15">
      <c r="A16" s="2">
        <v>45527.597426076391</v>
      </c>
      <c r="B16" s="3" t="s">
        <v>23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 t="s">
        <v>24</v>
      </c>
      <c r="J16" s="3" t="s">
        <v>25</v>
      </c>
      <c r="K16" s="3" t="s">
        <v>26</v>
      </c>
      <c r="L16" s="3" t="s">
        <v>27</v>
      </c>
      <c r="M16" s="3">
        <v>1</v>
      </c>
      <c r="N16" s="3">
        <v>1</v>
      </c>
      <c r="O16" s="3">
        <v>1</v>
      </c>
      <c r="P16" s="3" t="s">
        <v>28</v>
      </c>
      <c r="Q16" s="3" t="s">
        <v>29</v>
      </c>
      <c r="R16" s="3" t="s">
        <v>30</v>
      </c>
      <c r="S16" s="3">
        <v>1</v>
      </c>
      <c r="T16" s="3" t="s">
        <v>46</v>
      </c>
      <c r="U16" s="3"/>
      <c r="V16" s="3"/>
      <c r="W16" s="3"/>
    </row>
    <row r="17" spans="1:23" ht="15.75" customHeight="1" x14ac:dyDescent="0.15">
      <c r="A17" s="2">
        <v>45532.671435497687</v>
      </c>
      <c r="B17" s="3" t="s">
        <v>47</v>
      </c>
      <c r="D17" s="3">
        <v>30</v>
      </c>
      <c r="L17" s="3" t="s">
        <v>48</v>
      </c>
      <c r="P17" s="3" t="s">
        <v>49</v>
      </c>
      <c r="T17" s="3" t="s">
        <v>50</v>
      </c>
      <c r="U17" s="3"/>
      <c r="V17" s="3"/>
      <c r="W17" s="3"/>
    </row>
    <row r="18" spans="1:23" ht="15.75" customHeight="1" x14ac:dyDescent="0.15">
      <c r="A18" s="2">
        <v>45538.410000439813</v>
      </c>
      <c r="B18" s="3" t="s">
        <v>51</v>
      </c>
      <c r="C18" s="3">
        <v>627</v>
      </c>
      <c r="N18" s="3">
        <v>170</v>
      </c>
      <c r="O18" s="3">
        <v>17782</v>
      </c>
      <c r="T18" s="3" t="s">
        <v>33</v>
      </c>
      <c r="U18" s="3"/>
      <c r="V18" s="3"/>
      <c r="W18" s="3"/>
    </row>
    <row r="19" spans="1:23" ht="15.75" customHeight="1" x14ac:dyDescent="0.15">
      <c r="A19" s="2">
        <v>45538.410872442131</v>
      </c>
      <c r="B19" s="3" t="s">
        <v>51</v>
      </c>
      <c r="C19" s="3">
        <v>972</v>
      </c>
      <c r="N19" s="3">
        <v>84</v>
      </c>
      <c r="O19" s="3">
        <v>6685</v>
      </c>
      <c r="T19" s="3" t="s">
        <v>50</v>
      </c>
      <c r="U19" s="3"/>
      <c r="V19" s="3"/>
      <c r="W19" s="3"/>
    </row>
    <row r="20" spans="1:23" ht="15.75" customHeight="1" x14ac:dyDescent="0.15">
      <c r="A20" s="2">
        <v>45538.411565937495</v>
      </c>
      <c r="B20" s="3" t="s">
        <v>51</v>
      </c>
      <c r="C20" s="3">
        <v>882</v>
      </c>
      <c r="N20" s="3">
        <v>133</v>
      </c>
      <c r="O20" s="3">
        <v>0</v>
      </c>
      <c r="T20" s="3" t="s">
        <v>39</v>
      </c>
      <c r="U20" s="3"/>
      <c r="V20" s="3"/>
      <c r="W20" s="3"/>
    </row>
    <row r="21" spans="1:23" ht="15.75" customHeight="1" x14ac:dyDescent="0.15">
      <c r="A21" s="2">
        <v>45538.412042824071</v>
      </c>
      <c r="B21" s="3" t="s">
        <v>51</v>
      </c>
      <c r="C21" s="3">
        <v>853</v>
      </c>
      <c r="N21" s="3">
        <v>81</v>
      </c>
      <c r="O21" s="3">
        <v>0</v>
      </c>
      <c r="T21" s="3" t="s">
        <v>52</v>
      </c>
      <c r="U21" s="3"/>
      <c r="V21" s="3"/>
      <c r="W21" s="3"/>
    </row>
    <row r="22" spans="1:23" ht="15.75" customHeight="1" x14ac:dyDescent="0.15">
      <c r="A22" s="2">
        <v>45538.412325567129</v>
      </c>
      <c r="B22" s="3" t="s">
        <v>51</v>
      </c>
      <c r="C22" s="3">
        <v>568</v>
      </c>
      <c r="N22" s="3">
        <v>42</v>
      </c>
      <c r="O22" s="3">
        <v>0</v>
      </c>
      <c r="T22" s="3" t="s">
        <v>53</v>
      </c>
      <c r="U22" s="3"/>
      <c r="V22" s="3"/>
      <c r="W22" s="3"/>
    </row>
    <row r="23" spans="1:23" ht="15.75" customHeight="1" x14ac:dyDescent="0.15">
      <c r="A23" s="2">
        <v>45538.412669212965</v>
      </c>
      <c r="B23" s="3" t="s">
        <v>51</v>
      </c>
      <c r="C23" s="3">
        <v>1537</v>
      </c>
      <c r="N23" s="3">
        <v>228</v>
      </c>
      <c r="O23" s="3">
        <v>0</v>
      </c>
      <c r="T23" s="3" t="s">
        <v>54</v>
      </c>
      <c r="U23" s="3"/>
      <c r="V23" s="3"/>
      <c r="W23" s="3"/>
    </row>
    <row r="24" spans="1:23" ht="15.75" customHeight="1" x14ac:dyDescent="0.15">
      <c r="A24" s="2">
        <v>45538.413907245369</v>
      </c>
      <c r="B24" s="3" t="s">
        <v>51</v>
      </c>
      <c r="C24" s="3">
        <v>1420</v>
      </c>
      <c r="N24" s="3">
        <v>5</v>
      </c>
      <c r="O24" s="3">
        <v>0</v>
      </c>
      <c r="T24" s="3" t="s">
        <v>31</v>
      </c>
      <c r="U24" s="3"/>
      <c r="V24" s="3"/>
      <c r="W24" s="3"/>
    </row>
    <row r="25" spans="1:23" ht="15.75" customHeight="1" x14ac:dyDescent="0.15">
      <c r="A25" s="2">
        <v>45538.414180150459</v>
      </c>
      <c r="B25" s="3" t="s">
        <v>51</v>
      </c>
      <c r="C25" s="3">
        <v>1875</v>
      </c>
      <c r="N25" s="3">
        <v>33</v>
      </c>
      <c r="O25" s="3">
        <v>0</v>
      </c>
      <c r="T25" s="3" t="s">
        <v>42</v>
      </c>
      <c r="U25" s="3"/>
      <c r="V25" s="3"/>
      <c r="W25" s="3"/>
    </row>
    <row r="26" spans="1:23" ht="15.75" customHeight="1" x14ac:dyDescent="0.15">
      <c r="A26" s="2">
        <v>45538.414504212968</v>
      </c>
      <c r="B26" s="3" t="s">
        <v>51</v>
      </c>
      <c r="C26" s="3">
        <v>981</v>
      </c>
      <c r="N26" s="3">
        <v>17</v>
      </c>
      <c r="O26" s="3">
        <v>0</v>
      </c>
      <c r="T26" s="3" t="s">
        <v>32</v>
      </c>
      <c r="U26" s="3"/>
      <c r="V26" s="3"/>
      <c r="W26" s="3"/>
    </row>
    <row r="27" spans="1:23" ht="15.75" customHeight="1" x14ac:dyDescent="0.15">
      <c r="A27" s="2">
        <v>45538.415104849541</v>
      </c>
      <c r="B27" s="3" t="s">
        <v>51</v>
      </c>
      <c r="C27" s="3">
        <v>346</v>
      </c>
      <c r="N27" s="3">
        <v>0</v>
      </c>
      <c r="O27" s="3">
        <v>0</v>
      </c>
      <c r="T27" s="3" t="s">
        <v>43</v>
      </c>
      <c r="U27" s="3"/>
      <c r="V27" s="3"/>
      <c r="W27" s="3"/>
    </row>
    <row r="28" spans="1:23" ht="15.75" customHeight="1" x14ac:dyDescent="0.15">
      <c r="A28" s="2">
        <v>45538.415640740743</v>
      </c>
      <c r="B28" s="3" t="s">
        <v>51</v>
      </c>
      <c r="C28" s="3">
        <v>1268</v>
      </c>
      <c r="N28" s="3">
        <v>3</v>
      </c>
      <c r="O28" s="3">
        <v>0</v>
      </c>
      <c r="T28" s="3" t="s">
        <v>44</v>
      </c>
      <c r="U28" s="3"/>
      <c r="V28" s="3"/>
      <c r="W28" s="3"/>
    </row>
    <row r="29" spans="1:23" ht="15.75" customHeight="1" x14ac:dyDescent="0.15">
      <c r="A29" s="2">
        <v>45538.416106562501</v>
      </c>
      <c r="B29" s="3" t="s">
        <v>51</v>
      </c>
      <c r="C29" s="3">
        <v>366</v>
      </c>
      <c r="N29" s="3">
        <v>0</v>
      </c>
      <c r="O29" s="3">
        <v>0</v>
      </c>
      <c r="T29" s="3" t="s">
        <v>45</v>
      </c>
      <c r="U29" s="3"/>
      <c r="V29" s="3"/>
      <c r="W29" s="3"/>
    </row>
    <row r="30" spans="1:23" ht="15.75" customHeight="1" x14ac:dyDescent="0.15">
      <c r="A30" s="2">
        <v>45538.416395567125</v>
      </c>
      <c r="B30" s="3" t="s">
        <v>51</v>
      </c>
      <c r="C30" s="3">
        <v>546</v>
      </c>
      <c r="N30" s="3">
        <v>123</v>
      </c>
      <c r="O30" s="3">
        <v>0</v>
      </c>
      <c r="T30" s="3" t="s">
        <v>46</v>
      </c>
      <c r="U30" s="3"/>
      <c r="V30" s="3"/>
      <c r="W30" s="3"/>
    </row>
    <row r="31" spans="1:23" ht="15.75" customHeight="1" x14ac:dyDescent="0.15">
      <c r="A31" s="2">
        <v>45538.416701736111</v>
      </c>
      <c r="B31" s="3" t="s">
        <v>51</v>
      </c>
      <c r="C31" s="3">
        <v>672</v>
      </c>
      <c r="N31" s="3">
        <v>63</v>
      </c>
      <c r="O31" s="3">
        <v>0</v>
      </c>
      <c r="T31" s="3" t="s">
        <v>55</v>
      </c>
      <c r="U31" s="3"/>
      <c r="V31" s="3"/>
      <c r="W31" s="3"/>
    </row>
    <row r="32" spans="1:23" ht="15.75" customHeight="1" x14ac:dyDescent="0.15">
      <c r="A32" s="2">
        <v>45538.417023692135</v>
      </c>
      <c r="B32" s="3" t="s">
        <v>51</v>
      </c>
      <c r="C32" s="3">
        <v>1175</v>
      </c>
      <c r="N32" s="3">
        <v>18</v>
      </c>
      <c r="O32" s="3">
        <v>0</v>
      </c>
      <c r="T32" s="3" t="s">
        <v>56</v>
      </c>
      <c r="U32" s="3"/>
      <c r="V32" s="3"/>
      <c r="W32" s="3"/>
    </row>
    <row r="33" spans="1:23" ht="15.75" customHeight="1" x14ac:dyDescent="0.15">
      <c r="A33" s="2">
        <v>45538.417345324073</v>
      </c>
      <c r="B33" s="3" t="s">
        <v>51</v>
      </c>
      <c r="C33" s="3">
        <v>927</v>
      </c>
      <c r="N33" s="3">
        <v>9</v>
      </c>
      <c r="O33" s="3">
        <v>0</v>
      </c>
      <c r="T33" s="3" t="s">
        <v>57</v>
      </c>
      <c r="U33" s="3"/>
      <c r="V33" s="3"/>
      <c r="W33" s="3"/>
    </row>
    <row r="34" spans="1:23" ht="15.75" customHeight="1" x14ac:dyDescent="0.15">
      <c r="A34" s="2">
        <v>45538.417727824075</v>
      </c>
      <c r="B34" s="3" t="s">
        <v>51</v>
      </c>
      <c r="C34" s="3">
        <v>1023</v>
      </c>
      <c r="N34" s="3">
        <v>0</v>
      </c>
      <c r="O34" s="3">
        <v>0</v>
      </c>
      <c r="T34" s="3" t="s">
        <v>58</v>
      </c>
      <c r="U34" s="3"/>
      <c r="V34" s="3"/>
      <c r="W34" s="3"/>
    </row>
    <row r="35" spans="1:23" ht="15.75" customHeight="1" x14ac:dyDescent="0.15">
      <c r="A35" s="2">
        <v>45538.417986562505</v>
      </c>
      <c r="B35" s="3" t="s">
        <v>51</v>
      </c>
      <c r="C35" s="3">
        <v>1263</v>
      </c>
      <c r="N35" s="3">
        <v>31</v>
      </c>
      <c r="O35" s="3">
        <v>0</v>
      </c>
      <c r="T35" s="3" t="s">
        <v>59</v>
      </c>
      <c r="U35" s="3"/>
      <c r="V35" s="3"/>
      <c r="W35" s="3"/>
    </row>
    <row r="36" spans="1:23" ht="15.75" customHeight="1" x14ac:dyDescent="0.15">
      <c r="A36" s="2">
        <v>45538.419447418986</v>
      </c>
      <c r="B36" s="3" t="s">
        <v>51</v>
      </c>
      <c r="C36" s="3">
        <v>1366</v>
      </c>
      <c r="N36" s="3">
        <v>49</v>
      </c>
      <c r="O36" s="3">
        <v>0</v>
      </c>
      <c r="T36" s="3" t="s">
        <v>60</v>
      </c>
      <c r="U36" s="3"/>
      <c r="V36" s="3"/>
      <c r="W36" s="3"/>
    </row>
    <row r="37" spans="1:23" ht="15.75" customHeight="1" x14ac:dyDescent="0.15">
      <c r="A37" s="2">
        <v>45538.419855775464</v>
      </c>
      <c r="B37" s="3" t="s">
        <v>51</v>
      </c>
      <c r="C37" s="3">
        <v>1127</v>
      </c>
      <c r="N37" s="3">
        <v>0</v>
      </c>
      <c r="O37" s="3">
        <v>0</v>
      </c>
      <c r="T37" s="3" t="s">
        <v>61</v>
      </c>
      <c r="U37" s="3"/>
      <c r="V37" s="3"/>
      <c r="W37" s="3"/>
    </row>
    <row r="38" spans="1:23" ht="15.75" customHeight="1" x14ac:dyDescent="0.15">
      <c r="A38" s="2">
        <v>45538.420253819444</v>
      </c>
      <c r="B38" s="3" t="s">
        <v>51</v>
      </c>
      <c r="C38" s="3">
        <v>1416</v>
      </c>
      <c r="N38" s="3">
        <v>208</v>
      </c>
      <c r="O38" s="3">
        <v>0</v>
      </c>
      <c r="T38" s="3" t="s">
        <v>62</v>
      </c>
      <c r="U38" s="3"/>
      <c r="V38" s="3"/>
      <c r="W38" s="3"/>
    </row>
    <row r="39" spans="1:23" ht="15.75" customHeight="1" x14ac:dyDescent="0.15">
      <c r="A39" s="2">
        <v>45538.42059893519</v>
      </c>
      <c r="B39" s="3" t="s">
        <v>51</v>
      </c>
      <c r="C39" s="3">
        <v>1073</v>
      </c>
      <c r="N39" s="3">
        <v>64</v>
      </c>
      <c r="O39" s="3">
        <v>0</v>
      </c>
      <c r="T39" s="3" t="s">
        <v>63</v>
      </c>
      <c r="U39" s="3"/>
      <c r="V39" s="3"/>
      <c r="W39" s="3"/>
    </row>
    <row r="40" spans="1:23" ht="15.75" customHeight="1" x14ac:dyDescent="0.15">
      <c r="A40" s="2">
        <v>45538.421022395836</v>
      </c>
      <c r="B40" s="3" t="s">
        <v>51</v>
      </c>
      <c r="C40" s="3">
        <v>509</v>
      </c>
      <c r="N40" s="3">
        <v>0</v>
      </c>
      <c r="O40" s="3">
        <v>0</v>
      </c>
      <c r="T40" s="3" t="s">
        <v>64</v>
      </c>
      <c r="U40" s="3"/>
      <c r="V40" s="3"/>
      <c r="W40" s="3"/>
    </row>
    <row r="41" spans="1:23" ht="15.75" customHeight="1" x14ac:dyDescent="0.15">
      <c r="A41" s="2">
        <v>45538.427377534725</v>
      </c>
      <c r="B41" s="3" t="s">
        <v>51</v>
      </c>
      <c r="C41" s="3">
        <v>48</v>
      </c>
      <c r="D41" s="3">
        <v>5</v>
      </c>
      <c r="J41" s="3" t="s">
        <v>65</v>
      </c>
      <c r="K41" s="3" t="s">
        <v>66</v>
      </c>
      <c r="M41" s="3">
        <v>6</v>
      </c>
      <c r="N41" s="3">
        <v>13</v>
      </c>
      <c r="O41" s="3">
        <v>0</v>
      </c>
      <c r="S41" s="3">
        <v>2</v>
      </c>
      <c r="T41" s="3" t="s">
        <v>67</v>
      </c>
      <c r="U41" s="3"/>
      <c r="V41" s="3"/>
      <c r="W41" s="3"/>
    </row>
    <row r="42" spans="1:23" ht="15.75" customHeight="1" x14ac:dyDescent="0.15">
      <c r="A42" s="2">
        <v>45538.680530162033</v>
      </c>
      <c r="B42" s="3" t="s">
        <v>47</v>
      </c>
      <c r="D42" s="3">
        <v>20</v>
      </c>
      <c r="R42" s="3" t="s">
        <v>68</v>
      </c>
      <c r="T42" s="3" t="s">
        <v>50</v>
      </c>
      <c r="U42" s="3"/>
      <c r="V42" s="3"/>
      <c r="W42" s="3"/>
    </row>
    <row r="43" spans="1:23" ht="15.75" customHeight="1" x14ac:dyDescent="0.15">
      <c r="A43" s="2">
        <v>45539.557148090273</v>
      </c>
      <c r="B43" s="3" t="s">
        <v>69</v>
      </c>
      <c r="D43" s="3">
        <v>1</v>
      </c>
      <c r="F43" s="3">
        <v>0</v>
      </c>
      <c r="G43" s="3">
        <v>3</v>
      </c>
      <c r="I43" s="3" t="s">
        <v>35</v>
      </c>
      <c r="J43" s="3" t="s">
        <v>70</v>
      </c>
      <c r="K43" s="3" t="s">
        <v>41</v>
      </c>
      <c r="L43" s="3" t="s">
        <v>71</v>
      </c>
      <c r="M43" s="3">
        <v>0</v>
      </c>
      <c r="P43" s="3" t="s">
        <v>28</v>
      </c>
      <c r="Q43" s="3" t="s">
        <v>72</v>
      </c>
      <c r="R43" s="3" t="s">
        <v>73</v>
      </c>
      <c r="S43" s="3">
        <v>2</v>
      </c>
      <c r="T43" s="3" t="s">
        <v>54</v>
      </c>
      <c r="U43" s="3"/>
      <c r="V43" s="3"/>
      <c r="W43" s="3"/>
    </row>
    <row r="44" spans="1:23" ht="15.75" customHeight="1" x14ac:dyDescent="0.15">
      <c r="A44" s="2">
        <v>45539.557331550925</v>
      </c>
      <c r="B44" s="3" t="s">
        <v>69</v>
      </c>
      <c r="Q44" s="3" t="s">
        <v>74</v>
      </c>
      <c r="T44" s="3" t="s">
        <v>54</v>
      </c>
      <c r="U44" s="3"/>
      <c r="V44" s="3"/>
      <c r="W44" s="3"/>
    </row>
    <row r="45" spans="1:23" ht="15.75" customHeight="1" x14ac:dyDescent="0.15">
      <c r="A45" s="2">
        <v>45539.557701111116</v>
      </c>
      <c r="B45" s="3" t="s">
        <v>69</v>
      </c>
      <c r="Q45" s="3" t="s">
        <v>75</v>
      </c>
      <c r="T45" s="3" t="s">
        <v>54</v>
      </c>
      <c r="U45" s="3"/>
      <c r="V45" s="3"/>
      <c r="W45" s="3"/>
    </row>
    <row r="46" spans="1:23" ht="15.75" customHeight="1" x14ac:dyDescent="0.15">
      <c r="A46" s="2">
        <v>45541.520123229166</v>
      </c>
      <c r="B46" s="3" t="s">
        <v>34</v>
      </c>
      <c r="D46" s="3">
        <v>3</v>
      </c>
      <c r="I46" s="3" t="s">
        <v>76</v>
      </c>
      <c r="J46" s="3" t="s">
        <v>77</v>
      </c>
      <c r="K46" s="3" t="s">
        <v>40</v>
      </c>
      <c r="M46" s="3">
        <v>3</v>
      </c>
      <c r="T46" s="3" t="s">
        <v>39</v>
      </c>
      <c r="U46" s="3"/>
      <c r="V46" s="3"/>
      <c r="W46" s="3"/>
    </row>
    <row r="47" spans="1:23" ht="15.75" customHeight="1" x14ac:dyDescent="0.15">
      <c r="A47" s="2">
        <v>45541.52074028935</v>
      </c>
      <c r="B47" s="3" t="s">
        <v>34</v>
      </c>
      <c r="I47" s="3" t="s">
        <v>24</v>
      </c>
      <c r="J47" s="3" t="s">
        <v>25</v>
      </c>
      <c r="K47" s="3" t="s">
        <v>78</v>
      </c>
      <c r="T47" s="3" t="s">
        <v>39</v>
      </c>
      <c r="U47" s="3"/>
      <c r="V47" s="3"/>
      <c r="W47" s="3"/>
    </row>
    <row r="48" spans="1:23" ht="15.75" customHeight="1" x14ac:dyDescent="0.15">
      <c r="A48" s="2">
        <v>45541.520932662039</v>
      </c>
      <c r="B48" s="3" t="s">
        <v>34</v>
      </c>
      <c r="J48" s="3" t="s">
        <v>25</v>
      </c>
      <c r="K48" s="3" t="s">
        <v>41</v>
      </c>
      <c r="T48" s="3" t="s">
        <v>39</v>
      </c>
      <c r="U48" s="3"/>
      <c r="V48" s="3"/>
      <c r="W48" s="3"/>
    </row>
    <row r="49" spans="1:23" ht="15.75" customHeight="1" x14ac:dyDescent="0.15">
      <c r="A49" s="2">
        <v>45541.572141840283</v>
      </c>
      <c r="B49" s="3" t="s">
        <v>79</v>
      </c>
      <c r="D49" s="3">
        <v>13</v>
      </c>
      <c r="G49" s="3">
        <v>2</v>
      </c>
      <c r="J49" s="3" t="s">
        <v>25</v>
      </c>
      <c r="K49" s="3" t="s">
        <v>78</v>
      </c>
      <c r="L49" s="3" t="s">
        <v>80</v>
      </c>
      <c r="Q49" s="3" t="s">
        <v>81</v>
      </c>
      <c r="T49" s="3" t="s">
        <v>52</v>
      </c>
      <c r="U49" s="3"/>
      <c r="V49" s="3"/>
      <c r="W49" s="3"/>
    </row>
    <row r="50" spans="1:23" ht="13" x14ac:dyDescent="0.15">
      <c r="A50" s="2">
        <v>45541.574674074072</v>
      </c>
      <c r="B50" s="3" t="s">
        <v>79</v>
      </c>
      <c r="D50" s="3">
        <v>3</v>
      </c>
      <c r="I50" s="3" t="s">
        <v>24</v>
      </c>
      <c r="J50" s="3" t="s">
        <v>25</v>
      </c>
      <c r="K50" s="3" t="s">
        <v>78</v>
      </c>
      <c r="T50" s="3" t="s">
        <v>52</v>
      </c>
      <c r="U50" s="3"/>
      <c r="V50" s="3"/>
      <c r="W50" s="3"/>
    </row>
    <row r="51" spans="1:23" ht="13" x14ac:dyDescent="0.15">
      <c r="A51" s="2">
        <v>45545.346201631939</v>
      </c>
      <c r="B51" s="3" t="s">
        <v>47</v>
      </c>
      <c r="D51" s="3">
        <v>11</v>
      </c>
      <c r="G51" s="3">
        <v>3</v>
      </c>
      <c r="L51" s="3" t="s">
        <v>48</v>
      </c>
      <c r="T51" s="3" t="s">
        <v>50</v>
      </c>
      <c r="U51" s="3"/>
      <c r="V51" s="3"/>
      <c r="W51" s="3"/>
    </row>
    <row r="52" spans="1:23" ht="13" x14ac:dyDescent="0.15">
      <c r="A52" s="2">
        <v>45546.639644976851</v>
      </c>
      <c r="B52" s="3" t="s">
        <v>79</v>
      </c>
      <c r="D52" s="3">
        <v>7</v>
      </c>
      <c r="J52" s="3" t="s">
        <v>25</v>
      </c>
      <c r="K52" s="3" t="s">
        <v>40</v>
      </c>
      <c r="L52" s="3" t="s">
        <v>80</v>
      </c>
      <c r="T52" s="3" t="s">
        <v>52</v>
      </c>
      <c r="U52" s="3"/>
      <c r="V52" s="3"/>
      <c r="W52" s="3"/>
    </row>
    <row r="53" spans="1:23" ht="13" x14ac:dyDescent="0.15">
      <c r="A53" s="2">
        <v>45546.640562488421</v>
      </c>
      <c r="B53" s="3" t="s">
        <v>79</v>
      </c>
      <c r="D53" s="3">
        <v>11</v>
      </c>
      <c r="J53" s="3" t="s">
        <v>25</v>
      </c>
      <c r="K53" s="3" t="s">
        <v>41</v>
      </c>
      <c r="T53" s="3" t="s">
        <v>52</v>
      </c>
      <c r="U53" s="3"/>
      <c r="V53" s="3"/>
      <c r="W53" s="3"/>
    </row>
    <row r="54" spans="1:23" ht="13" x14ac:dyDescent="0.15">
      <c r="A54" s="2">
        <v>45546.648893402773</v>
      </c>
      <c r="B54" s="3" t="s">
        <v>79</v>
      </c>
      <c r="D54" s="3">
        <v>1</v>
      </c>
      <c r="G54" s="3">
        <v>2</v>
      </c>
      <c r="I54" s="3" t="s">
        <v>82</v>
      </c>
      <c r="K54" s="3" t="s">
        <v>83</v>
      </c>
      <c r="L54" s="3" t="s">
        <v>80</v>
      </c>
      <c r="T54" s="3" t="s">
        <v>52</v>
      </c>
      <c r="U54" s="3"/>
      <c r="V54" s="3"/>
      <c r="W54" s="3"/>
    </row>
    <row r="55" spans="1:23" ht="13" x14ac:dyDescent="0.15">
      <c r="A55" s="2">
        <v>45546.653315381947</v>
      </c>
      <c r="B55" s="3" t="s">
        <v>79</v>
      </c>
      <c r="D55" s="3">
        <v>1</v>
      </c>
      <c r="G55" s="3">
        <v>15</v>
      </c>
      <c r="I55" s="3" t="s">
        <v>76</v>
      </c>
      <c r="K55" s="3" t="s">
        <v>41</v>
      </c>
      <c r="L55" s="3" t="s">
        <v>80</v>
      </c>
      <c r="T55" s="3" t="s">
        <v>52</v>
      </c>
      <c r="U55" s="3"/>
      <c r="V55" s="3"/>
      <c r="W55" s="3"/>
    </row>
    <row r="56" spans="1:23" ht="13" x14ac:dyDescent="0.15">
      <c r="A56" s="2">
        <v>45551.518187245369</v>
      </c>
      <c r="B56" s="3" t="s">
        <v>79</v>
      </c>
      <c r="D56" s="3">
        <v>1</v>
      </c>
      <c r="I56" s="3" t="s">
        <v>84</v>
      </c>
      <c r="K56" s="3" t="s">
        <v>41</v>
      </c>
      <c r="T56" s="3" t="s">
        <v>52</v>
      </c>
      <c r="U56" s="3"/>
      <c r="V56" s="3"/>
      <c r="W56" s="3"/>
    </row>
    <row r="57" spans="1:23" ht="13" x14ac:dyDescent="0.15">
      <c r="A57" s="2">
        <v>45551.520021643519</v>
      </c>
      <c r="B57" s="3" t="s">
        <v>79</v>
      </c>
      <c r="D57" s="3">
        <v>4</v>
      </c>
      <c r="I57" s="3" t="s">
        <v>35</v>
      </c>
      <c r="J57" s="3" t="s">
        <v>77</v>
      </c>
      <c r="K57" s="3" t="s">
        <v>40</v>
      </c>
      <c r="T57" s="3" t="s">
        <v>52</v>
      </c>
      <c r="U57" s="3"/>
      <c r="V57" s="3"/>
      <c r="W57" s="3"/>
    </row>
    <row r="58" spans="1:23" ht="13" x14ac:dyDescent="0.15">
      <c r="A58" s="2">
        <v>45551.523247060184</v>
      </c>
      <c r="B58" s="3" t="s">
        <v>79</v>
      </c>
      <c r="D58" s="3">
        <v>8</v>
      </c>
      <c r="I58" s="3" t="s">
        <v>35</v>
      </c>
      <c r="J58" s="3" t="s">
        <v>77</v>
      </c>
      <c r="K58" s="3" t="s">
        <v>78</v>
      </c>
      <c r="T58" s="3" t="s">
        <v>52</v>
      </c>
      <c r="U58" s="3"/>
      <c r="V58" s="3"/>
      <c r="W58" s="3"/>
    </row>
    <row r="59" spans="1:23" ht="13" x14ac:dyDescent="0.15">
      <c r="A59" s="2">
        <v>45551.537532777773</v>
      </c>
      <c r="B59" s="3" t="s">
        <v>79</v>
      </c>
      <c r="G59" s="3">
        <v>11</v>
      </c>
      <c r="L59" s="3" t="s">
        <v>85</v>
      </c>
      <c r="T59" s="3" t="s">
        <v>52</v>
      </c>
      <c r="U59" s="3"/>
      <c r="V59" s="3"/>
      <c r="W59" s="3"/>
    </row>
    <row r="60" spans="1:23" ht="13" x14ac:dyDescent="0.15">
      <c r="A60" s="2">
        <v>45552.386036678239</v>
      </c>
      <c r="B60" s="3" t="s">
        <v>47</v>
      </c>
      <c r="D60" s="3">
        <v>6</v>
      </c>
      <c r="G60" s="3">
        <v>3</v>
      </c>
      <c r="P60" s="3" t="s">
        <v>86</v>
      </c>
      <c r="Q60" s="3" t="s">
        <v>87</v>
      </c>
      <c r="R60" s="3" t="s">
        <v>73</v>
      </c>
      <c r="T60" s="3" t="s">
        <v>50</v>
      </c>
      <c r="U60" s="3"/>
      <c r="V60" s="3"/>
      <c r="W60" s="3"/>
    </row>
    <row r="61" spans="1:23" ht="13" x14ac:dyDescent="0.15">
      <c r="A61" s="2">
        <v>45552.398251874998</v>
      </c>
      <c r="B61" s="3" t="s">
        <v>69</v>
      </c>
      <c r="D61" s="3">
        <v>12</v>
      </c>
      <c r="G61" s="3">
        <v>6</v>
      </c>
      <c r="I61" s="3" t="s">
        <v>76</v>
      </c>
      <c r="J61" s="3" t="s">
        <v>25</v>
      </c>
      <c r="K61" s="3" t="s">
        <v>40</v>
      </c>
      <c r="R61" s="3" t="s">
        <v>88</v>
      </c>
      <c r="T61" s="3" t="s">
        <v>54</v>
      </c>
      <c r="U61" s="3"/>
      <c r="V61" s="3"/>
      <c r="W61" s="3"/>
    </row>
    <row r="62" spans="1:23" ht="13" x14ac:dyDescent="0.15">
      <c r="A62" s="2">
        <v>45552.398747384257</v>
      </c>
      <c r="B62" s="3" t="s">
        <v>69</v>
      </c>
      <c r="D62" s="3">
        <v>12</v>
      </c>
      <c r="I62" s="3" t="s">
        <v>35</v>
      </c>
      <c r="J62" s="3" t="s">
        <v>25</v>
      </c>
      <c r="K62" s="3" t="s">
        <v>40</v>
      </c>
      <c r="R62" s="3" t="s">
        <v>88</v>
      </c>
      <c r="T62" s="3" t="s">
        <v>54</v>
      </c>
      <c r="U62" s="3"/>
      <c r="V62" s="3"/>
      <c r="W62" s="3"/>
    </row>
    <row r="63" spans="1:23" ht="13" x14ac:dyDescent="0.15">
      <c r="A63" s="2">
        <v>45552.399930358792</v>
      </c>
      <c r="B63" s="3" t="s">
        <v>69</v>
      </c>
      <c r="D63" s="3">
        <v>1</v>
      </c>
      <c r="I63" s="3" t="s">
        <v>24</v>
      </c>
      <c r="J63" s="3" t="s">
        <v>70</v>
      </c>
      <c r="K63" s="3" t="s">
        <v>40</v>
      </c>
      <c r="T63" s="3" t="s">
        <v>54</v>
      </c>
      <c r="U63" s="3"/>
      <c r="V63" s="3"/>
      <c r="W63" s="3"/>
    </row>
    <row r="64" spans="1:23" ht="13" x14ac:dyDescent="0.15">
      <c r="A64" s="2">
        <v>45552.400240092597</v>
      </c>
      <c r="B64" s="3" t="s">
        <v>69</v>
      </c>
      <c r="D64" s="3">
        <v>2</v>
      </c>
      <c r="I64" s="3" t="s">
        <v>76</v>
      </c>
      <c r="J64" s="3" t="s">
        <v>25</v>
      </c>
      <c r="T64" s="3" t="s">
        <v>54</v>
      </c>
      <c r="U64" s="3"/>
      <c r="V64" s="3"/>
      <c r="W64" s="3"/>
    </row>
    <row r="65" spans="1:23" ht="13" x14ac:dyDescent="0.15">
      <c r="A65" s="2">
        <v>45552.441440196759</v>
      </c>
      <c r="B65" s="3" t="s">
        <v>69</v>
      </c>
      <c r="G65" s="3">
        <v>6</v>
      </c>
      <c r="R65" s="3" t="s">
        <v>88</v>
      </c>
      <c r="T65" s="3" t="s">
        <v>54</v>
      </c>
      <c r="U65" s="3"/>
      <c r="V65" s="3"/>
      <c r="W65" s="3"/>
    </row>
    <row r="66" spans="1:23" ht="13" x14ac:dyDescent="0.15">
      <c r="A66" s="2">
        <v>45552.441772615741</v>
      </c>
      <c r="B66" s="3" t="s">
        <v>69</v>
      </c>
      <c r="Q66" s="3" t="s">
        <v>72</v>
      </c>
      <c r="R66" s="3" t="s">
        <v>88</v>
      </c>
      <c r="T66" s="3" t="s">
        <v>54</v>
      </c>
      <c r="U66" s="3"/>
      <c r="V66" s="3"/>
      <c r="W66" s="3"/>
    </row>
    <row r="67" spans="1:23" ht="13" x14ac:dyDescent="0.15">
      <c r="A67" s="2">
        <v>45552.512017175926</v>
      </c>
      <c r="B67" s="3" t="s">
        <v>69</v>
      </c>
      <c r="G67" s="3">
        <v>3</v>
      </c>
      <c r="L67" s="3" t="s">
        <v>71</v>
      </c>
      <c r="R67" s="3" t="s">
        <v>88</v>
      </c>
      <c r="T67" s="3" t="s">
        <v>54</v>
      </c>
      <c r="U67" s="3"/>
      <c r="V67" s="3"/>
      <c r="W67" s="3"/>
    </row>
    <row r="68" spans="1:23" ht="13" x14ac:dyDescent="0.15">
      <c r="A68" s="2">
        <v>45552.512361215282</v>
      </c>
      <c r="B68" s="3" t="s">
        <v>69</v>
      </c>
      <c r="P68" s="3" t="s">
        <v>28</v>
      </c>
      <c r="R68" s="3" t="s">
        <v>89</v>
      </c>
      <c r="T68" s="3" t="s">
        <v>54</v>
      </c>
      <c r="U68" s="3"/>
      <c r="V68" s="3"/>
      <c r="W68" s="3"/>
    </row>
    <row r="69" spans="1:23" ht="13" x14ac:dyDescent="0.15">
      <c r="A69" s="2">
        <v>45553.398806006946</v>
      </c>
      <c r="B69" s="3" t="s">
        <v>34</v>
      </c>
      <c r="D69" s="3">
        <v>4</v>
      </c>
      <c r="F69" s="3">
        <v>0</v>
      </c>
      <c r="G69" s="3">
        <v>9</v>
      </c>
      <c r="H69" s="3">
        <v>0</v>
      </c>
      <c r="I69" s="3" t="s">
        <v>35</v>
      </c>
      <c r="J69" s="3" t="s">
        <v>77</v>
      </c>
      <c r="K69" s="3" t="s">
        <v>40</v>
      </c>
      <c r="L69" s="3" t="s">
        <v>80</v>
      </c>
      <c r="P69" s="3" t="s">
        <v>28</v>
      </c>
      <c r="Q69" s="3" t="s">
        <v>72</v>
      </c>
      <c r="R69" s="3" t="s">
        <v>89</v>
      </c>
      <c r="S69" s="3">
        <v>2</v>
      </c>
      <c r="T69" s="3" t="s">
        <v>39</v>
      </c>
      <c r="U69" s="3"/>
      <c r="V69" s="3"/>
      <c r="W69" s="3"/>
    </row>
    <row r="70" spans="1:23" ht="13" x14ac:dyDescent="0.15">
      <c r="A70" s="2">
        <v>45553.399457291671</v>
      </c>
      <c r="B70" s="3" t="s">
        <v>34</v>
      </c>
      <c r="D70" s="3">
        <v>0</v>
      </c>
      <c r="F70" s="3">
        <v>0</v>
      </c>
      <c r="G70" s="3">
        <v>0</v>
      </c>
      <c r="H70" s="3">
        <v>0</v>
      </c>
      <c r="I70" s="3" t="s">
        <v>24</v>
      </c>
      <c r="J70" s="3" t="s">
        <v>77</v>
      </c>
      <c r="K70" s="3" t="s">
        <v>78</v>
      </c>
      <c r="M70" s="3">
        <v>0</v>
      </c>
      <c r="P70" s="3" t="s">
        <v>90</v>
      </c>
      <c r="S70" s="3">
        <v>0</v>
      </c>
      <c r="T70" s="3" t="s">
        <v>39</v>
      </c>
      <c r="U70" s="3"/>
      <c r="V70" s="3"/>
      <c r="W70" s="3"/>
    </row>
    <row r="71" spans="1:23" ht="13" x14ac:dyDescent="0.15">
      <c r="A71" s="2">
        <v>45555.448233055555</v>
      </c>
      <c r="B71" s="3" t="s">
        <v>91</v>
      </c>
      <c r="G71" s="3">
        <v>6</v>
      </c>
      <c r="M71" s="3">
        <v>254</v>
      </c>
      <c r="P71" s="3" t="s">
        <v>92</v>
      </c>
      <c r="Q71" s="3" t="s">
        <v>93</v>
      </c>
      <c r="R71" s="3" t="s">
        <v>94</v>
      </c>
      <c r="S71" s="3">
        <v>2</v>
      </c>
      <c r="T71" s="3" t="s">
        <v>33</v>
      </c>
      <c r="U71" s="3"/>
      <c r="V71" s="3"/>
      <c r="W71" s="3"/>
    </row>
    <row r="72" spans="1:23" ht="13" x14ac:dyDescent="0.15">
      <c r="A72" s="2">
        <v>45555.512839965275</v>
      </c>
      <c r="B72" s="3" t="s">
        <v>91</v>
      </c>
      <c r="Q72" s="3" t="s">
        <v>95</v>
      </c>
      <c r="T72" s="3" t="s">
        <v>33</v>
      </c>
      <c r="U72" s="3"/>
      <c r="V72" s="3"/>
      <c r="W72" s="3"/>
    </row>
    <row r="73" spans="1:23" ht="13" x14ac:dyDescent="0.15">
      <c r="A73" s="2">
        <v>45555.513056481483</v>
      </c>
      <c r="B73" s="3" t="s">
        <v>91</v>
      </c>
      <c r="Q73" s="3" t="s">
        <v>96</v>
      </c>
      <c r="T73" s="3" t="s">
        <v>33</v>
      </c>
      <c r="U73" s="3"/>
      <c r="V73" s="3"/>
      <c r="W73" s="3"/>
    </row>
    <row r="74" spans="1:23" ht="13" x14ac:dyDescent="0.15">
      <c r="A74" s="2">
        <v>45558.438330092591</v>
      </c>
      <c r="B74" s="3" t="s">
        <v>91</v>
      </c>
      <c r="D74" s="3">
        <v>3</v>
      </c>
      <c r="I74" s="3" t="s">
        <v>82</v>
      </c>
      <c r="J74" s="3" t="s">
        <v>25</v>
      </c>
      <c r="K74" s="3" t="s">
        <v>97</v>
      </c>
      <c r="T74" s="3" t="s">
        <v>33</v>
      </c>
      <c r="U74" s="3"/>
      <c r="V74" s="3"/>
      <c r="W74" s="3"/>
    </row>
    <row r="75" spans="1:23" ht="13" x14ac:dyDescent="0.15">
      <c r="A75" s="2">
        <v>45558.439390104162</v>
      </c>
      <c r="B75" s="3" t="s">
        <v>91</v>
      </c>
      <c r="D75" s="3">
        <v>2</v>
      </c>
      <c r="I75" s="3" t="s">
        <v>82</v>
      </c>
      <c r="J75" s="3" t="s">
        <v>25</v>
      </c>
      <c r="K75" s="3" t="s">
        <v>37</v>
      </c>
      <c r="L75" s="3" t="s">
        <v>98</v>
      </c>
      <c r="Q75" s="3" t="s">
        <v>99</v>
      </c>
      <c r="T75" s="3" t="s">
        <v>33</v>
      </c>
      <c r="U75" s="3"/>
      <c r="V75" s="3"/>
      <c r="W75" s="3"/>
    </row>
    <row r="76" spans="1:23" ht="13" x14ac:dyDescent="0.15">
      <c r="A76" s="2">
        <v>45558.439717939815</v>
      </c>
      <c r="B76" s="3" t="s">
        <v>91</v>
      </c>
      <c r="D76" s="3">
        <v>1</v>
      </c>
      <c r="I76" s="3" t="s">
        <v>82</v>
      </c>
      <c r="J76" s="3" t="s">
        <v>25</v>
      </c>
      <c r="K76" s="3" t="s">
        <v>100</v>
      </c>
      <c r="T76" s="3" t="s">
        <v>33</v>
      </c>
      <c r="U76" s="3"/>
      <c r="V76" s="3"/>
      <c r="W76" s="3"/>
    </row>
    <row r="77" spans="1:23" ht="13" x14ac:dyDescent="0.15">
      <c r="A77" s="2">
        <v>45558.440110474534</v>
      </c>
      <c r="B77" s="3" t="s">
        <v>91</v>
      </c>
      <c r="D77" s="3">
        <v>1</v>
      </c>
      <c r="I77" s="3" t="s">
        <v>82</v>
      </c>
      <c r="J77" s="3" t="s">
        <v>25</v>
      </c>
      <c r="K77" s="3" t="s">
        <v>101</v>
      </c>
      <c r="T77" s="3" t="s">
        <v>33</v>
      </c>
      <c r="U77" s="3"/>
      <c r="V77" s="3"/>
      <c r="W77" s="3"/>
    </row>
    <row r="78" spans="1:23" ht="13" x14ac:dyDescent="0.15">
      <c r="A78" s="2">
        <v>45558.440927847223</v>
      </c>
      <c r="B78" s="3" t="s">
        <v>91</v>
      </c>
      <c r="D78" s="3">
        <v>1</v>
      </c>
      <c r="I78" s="3" t="s">
        <v>102</v>
      </c>
      <c r="J78" s="3" t="s">
        <v>25</v>
      </c>
      <c r="K78" s="3" t="s">
        <v>100</v>
      </c>
      <c r="T78" s="3" t="s">
        <v>33</v>
      </c>
      <c r="U78" s="3"/>
      <c r="V78" s="3"/>
      <c r="W78" s="3"/>
    </row>
    <row r="79" spans="1:23" ht="13" x14ac:dyDescent="0.15">
      <c r="A79" s="2">
        <v>45558.441400613425</v>
      </c>
      <c r="B79" s="3" t="s">
        <v>91</v>
      </c>
      <c r="D79" s="3">
        <v>18</v>
      </c>
      <c r="I79" s="3" t="s">
        <v>84</v>
      </c>
      <c r="J79" s="3" t="s">
        <v>77</v>
      </c>
      <c r="K79" s="3" t="s">
        <v>97</v>
      </c>
      <c r="T79" s="3" t="s">
        <v>33</v>
      </c>
      <c r="U79" s="3"/>
      <c r="V79" s="3"/>
      <c r="W79" s="3"/>
    </row>
    <row r="80" spans="1:23" ht="13" x14ac:dyDescent="0.15">
      <c r="A80" s="2">
        <v>45558.441850648145</v>
      </c>
      <c r="B80" s="3" t="s">
        <v>91</v>
      </c>
      <c r="D80" s="3">
        <v>1</v>
      </c>
      <c r="I80" s="3" t="s">
        <v>84</v>
      </c>
      <c r="J80" s="3" t="s">
        <v>103</v>
      </c>
      <c r="K80" s="3" t="s">
        <v>97</v>
      </c>
      <c r="T80" s="3" t="s">
        <v>33</v>
      </c>
      <c r="U80" s="3"/>
      <c r="V80" s="3"/>
      <c r="W80" s="3"/>
    </row>
    <row r="81" spans="1:23" ht="13" x14ac:dyDescent="0.15">
      <c r="A81" s="2">
        <v>45558.444716006939</v>
      </c>
      <c r="B81" s="3" t="s">
        <v>91</v>
      </c>
      <c r="D81" s="3">
        <v>23</v>
      </c>
      <c r="I81" s="3" t="s">
        <v>35</v>
      </c>
      <c r="J81" s="3" t="s">
        <v>25</v>
      </c>
      <c r="K81" s="3" t="s">
        <v>101</v>
      </c>
      <c r="T81" s="3" t="s">
        <v>33</v>
      </c>
      <c r="U81" s="3"/>
      <c r="V81" s="3"/>
      <c r="W81" s="3"/>
    </row>
    <row r="82" spans="1:23" ht="13" x14ac:dyDescent="0.15">
      <c r="A82" s="2">
        <v>45558.445258182866</v>
      </c>
      <c r="B82" s="3" t="s">
        <v>91</v>
      </c>
      <c r="D82" s="3">
        <v>1</v>
      </c>
      <c r="I82" s="3" t="s">
        <v>24</v>
      </c>
      <c r="J82" s="3" t="s">
        <v>25</v>
      </c>
      <c r="K82" s="3" t="s">
        <v>97</v>
      </c>
      <c r="T82" s="3" t="s">
        <v>33</v>
      </c>
      <c r="U82" s="3"/>
      <c r="V82" s="3"/>
      <c r="W82" s="3"/>
    </row>
    <row r="83" spans="1:23" ht="13" x14ac:dyDescent="0.15">
      <c r="A83" s="2">
        <v>45558.445548067131</v>
      </c>
      <c r="B83" s="3" t="s">
        <v>91</v>
      </c>
      <c r="D83" s="3">
        <v>2</v>
      </c>
      <c r="I83" s="3" t="s">
        <v>24</v>
      </c>
      <c r="J83" s="3" t="s">
        <v>25</v>
      </c>
      <c r="K83" s="3" t="s">
        <v>97</v>
      </c>
      <c r="T83" s="3" t="s">
        <v>33</v>
      </c>
      <c r="U83" s="3"/>
      <c r="V83" s="3"/>
      <c r="W83" s="3"/>
    </row>
    <row r="84" spans="1:23" ht="13" x14ac:dyDescent="0.15">
      <c r="A84" s="2">
        <v>45558.44665351852</v>
      </c>
      <c r="B84" s="3" t="s">
        <v>91</v>
      </c>
      <c r="D84" s="3">
        <v>1</v>
      </c>
      <c r="I84" s="3" t="s">
        <v>82</v>
      </c>
      <c r="J84" s="3" t="s">
        <v>104</v>
      </c>
      <c r="K84" s="3" t="s">
        <v>101</v>
      </c>
      <c r="T84" s="3" t="s">
        <v>33</v>
      </c>
      <c r="U84" s="3"/>
      <c r="V84" s="3"/>
      <c r="W84" s="3"/>
    </row>
    <row r="85" spans="1:23" ht="13" x14ac:dyDescent="0.15">
      <c r="A85" s="2">
        <v>45558.447058634258</v>
      </c>
      <c r="B85" s="3" t="s">
        <v>91</v>
      </c>
      <c r="D85" s="3">
        <v>1</v>
      </c>
      <c r="I85" s="3" t="s">
        <v>82</v>
      </c>
      <c r="J85" s="3" t="s">
        <v>104</v>
      </c>
      <c r="K85" s="3" t="s">
        <v>37</v>
      </c>
      <c r="T85" s="3" t="s">
        <v>33</v>
      </c>
      <c r="U85" s="3"/>
      <c r="V85" s="3"/>
      <c r="W85" s="3"/>
    </row>
    <row r="86" spans="1:23" ht="13" x14ac:dyDescent="0.15">
      <c r="A86" s="2">
        <v>45558.447315347221</v>
      </c>
      <c r="B86" s="3" t="s">
        <v>91</v>
      </c>
      <c r="D86" s="3">
        <v>1</v>
      </c>
      <c r="I86" s="3" t="s">
        <v>82</v>
      </c>
      <c r="J86" s="3" t="s">
        <v>104</v>
      </c>
      <c r="K86" s="3" t="s">
        <v>97</v>
      </c>
      <c r="T86" s="3" t="s">
        <v>33</v>
      </c>
      <c r="U86" s="3"/>
      <c r="V86" s="3"/>
      <c r="W86" s="3"/>
    </row>
    <row r="87" spans="1:23" ht="13" x14ac:dyDescent="0.15">
      <c r="A87" s="2">
        <v>45558.448229571761</v>
      </c>
      <c r="B87" s="3" t="s">
        <v>91</v>
      </c>
      <c r="L87" s="3" t="s">
        <v>105</v>
      </c>
      <c r="Q87" s="3" t="s">
        <v>106</v>
      </c>
      <c r="T87" s="3" t="s">
        <v>33</v>
      </c>
      <c r="U87" s="3"/>
      <c r="V87" s="3"/>
      <c r="W87" s="3"/>
    </row>
    <row r="88" spans="1:23" ht="13" x14ac:dyDescent="0.15">
      <c r="A88" s="2">
        <v>45558.44865662037</v>
      </c>
      <c r="B88" s="3" t="s">
        <v>91</v>
      </c>
      <c r="L88" s="3" t="s">
        <v>107</v>
      </c>
      <c r="Q88" s="3" t="s">
        <v>108</v>
      </c>
      <c r="T88" s="3" t="s">
        <v>33</v>
      </c>
      <c r="U88" s="3"/>
      <c r="V88" s="3"/>
      <c r="W88" s="3"/>
    </row>
    <row r="89" spans="1:23" ht="13" x14ac:dyDescent="0.15">
      <c r="A89" s="2">
        <v>45558.449023634261</v>
      </c>
      <c r="B89" s="3" t="s">
        <v>91</v>
      </c>
      <c r="L89" s="3" t="s">
        <v>109</v>
      </c>
      <c r="Q89" s="3" t="s">
        <v>110</v>
      </c>
      <c r="T89" s="3" t="s">
        <v>33</v>
      </c>
      <c r="U89" s="3"/>
      <c r="V89" s="3"/>
      <c r="W89" s="3"/>
    </row>
    <row r="90" spans="1:23" ht="13" x14ac:dyDescent="0.15">
      <c r="A90" s="2">
        <v>45558.449132326394</v>
      </c>
      <c r="B90" s="3" t="s">
        <v>34</v>
      </c>
      <c r="M90" s="3">
        <v>8</v>
      </c>
      <c r="T90" s="3" t="s">
        <v>39</v>
      </c>
      <c r="U90" s="3"/>
      <c r="V90" s="3"/>
      <c r="W90" s="3"/>
    </row>
    <row r="91" spans="1:23" ht="13" x14ac:dyDescent="0.15">
      <c r="A91" s="2">
        <v>45558.449675706019</v>
      </c>
      <c r="B91" s="3" t="s">
        <v>91</v>
      </c>
      <c r="L91" s="3" t="s">
        <v>111</v>
      </c>
      <c r="P91" s="3" t="s">
        <v>112</v>
      </c>
      <c r="R91" s="3" t="s">
        <v>94</v>
      </c>
      <c r="T91" s="3" t="s">
        <v>33</v>
      </c>
      <c r="U91" s="3"/>
      <c r="V91" s="3"/>
      <c r="W91" s="3"/>
    </row>
    <row r="92" spans="1:23" ht="13" x14ac:dyDescent="0.15">
      <c r="A92" s="2">
        <v>45558.450274189818</v>
      </c>
      <c r="B92" s="3" t="s">
        <v>91</v>
      </c>
      <c r="L92" s="3" t="s">
        <v>113</v>
      </c>
      <c r="P92" s="3" t="s">
        <v>114</v>
      </c>
      <c r="R92" s="3" t="s">
        <v>94</v>
      </c>
      <c r="T92" s="3" t="s">
        <v>33</v>
      </c>
      <c r="U92" s="3"/>
      <c r="V92" s="3"/>
      <c r="W92" s="3"/>
    </row>
    <row r="93" spans="1:23" ht="13" x14ac:dyDescent="0.15">
      <c r="A93" s="2">
        <v>45558.450691527774</v>
      </c>
      <c r="B93" s="3" t="s">
        <v>91</v>
      </c>
      <c r="P93" s="3" t="s">
        <v>86</v>
      </c>
      <c r="R93" s="3" t="s">
        <v>115</v>
      </c>
      <c r="T93" s="3" t="s">
        <v>33</v>
      </c>
      <c r="U93" s="3"/>
      <c r="V93" s="3"/>
      <c r="W93" s="3"/>
    </row>
    <row r="94" spans="1:23" ht="13" x14ac:dyDescent="0.15">
      <c r="A94" s="2">
        <v>45558.459753217598</v>
      </c>
      <c r="B94" s="3" t="s">
        <v>91</v>
      </c>
      <c r="D94" s="3">
        <v>12</v>
      </c>
      <c r="I94" s="3" t="s">
        <v>102</v>
      </c>
      <c r="K94" s="3" t="s">
        <v>101</v>
      </c>
      <c r="T94" s="3" t="s">
        <v>33</v>
      </c>
      <c r="U94" s="3"/>
      <c r="V94" s="3"/>
      <c r="W94" s="3"/>
    </row>
    <row r="95" spans="1:23" ht="13" x14ac:dyDescent="0.15">
      <c r="A95" s="2">
        <v>45559.381735752315</v>
      </c>
      <c r="B95" s="3" t="s">
        <v>47</v>
      </c>
      <c r="D95" s="3">
        <v>1</v>
      </c>
      <c r="G95" s="3">
        <v>3</v>
      </c>
      <c r="P95" s="3" t="s">
        <v>116</v>
      </c>
      <c r="R95" s="3" t="s">
        <v>117</v>
      </c>
      <c r="T95" s="3" t="s">
        <v>50</v>
      </c>
      <c r="U95" s="3"/>
      <c r="V95" s="3"/>
      <c r="W95" s="3"/>
    </row>
    <row r="96" spans="1:23" ht="13" x14ac:dyDescent="0.15">
      <c r="A96" s="2">
        <v>45559.418145706019</v>
      </c>
      <c r="B96" s="3" t="s">
        <v>118</v>
      </c>
      <c r="F96" s="6">
        <v>1054.81</v>
      </c>
      <c r="H96" s="3">
        <v>27</v>
      </c>
      <c r="L96" s="3" t="s">
        <v>119</v>
      </c>
      <c r="S96" s="3">
        <v>1</v>
      </c>
      <c r="T96" s="3" t="s">
        <v>60</v>
      </c>
      <c r="U96" s="3"/>
      <c r="V96" s="3"/>
      <c r="W96" s="3"/>
    </row>
    <row r="97" spans="1:23" ht="13" x14ac:dyDescent="0.15">
      <c r="A97" s="2">
        <v>45559.450214166667</v>
      </c>
      <c r="B97" s="3" t="s">
        <v>79</v>
      </c>
      <c r="D97" s="3">
        <v>4</v>
      </c>
      <c r="I97" s="3" t="s">
        <v>35</v>
      </c>
      <c r="J97" s="3" t="s">
        <v>77</v>
      </c>
      <c r="K97" s="3" t="s">
        <v>40</v>
      </c>
      <c r="T97" s="3" t="s">
        <v>52</v>
      </c>
      <c r="U97" s="3"/>
      <c r="V97" s="3"/>
      <c r="W97" s="3"/>
    </row>
    <row r="98" spans="1:23" ht="13" x14ac:dyDescent="0.15">
      <c r="A98" s="2">
        <v>45559.451197083334</v>
      </c>
      <c r="B98" s="3" t="s">
        <v>79</v>
      </c>
      <c r="G98" s="3">
        <v>5</v>
      </c>
      <c r="L98" s="3" t="s">
        <v>80</v>
      </c>
      <c r="T98" s="3" t="s">
        <v>52</v>
      </c>
      <c r="U98" s="3"/>
      <c r="V98" s="3"/>
      <c r="W98" s="3"/>
    </row>
    <row r="99" spans="1:23" ht="13" x14ac:dyDescent="0.15">
      <c r="A99" s="2">
        <v>45559.452421747686</v>
      </c>
      <c r="B99" s="3" t="s">
        <v>79</v>
      </c>
      <c r="R99" s="3" t="s">
        <v>120</v>
      </c>
      <c r="T99" s="3" t="s">
        <v>52</v>
      </c>
      <c r="U99" s="3"/>
      <c r="V99" s="3"/>
      <c r="W99" s="3"/>
    </row>
    <row r="100" spans="1:23" ht="13" x14ac:dyDescent="0.15">
      <c r="A100" s="2">
        <v>45562.36216636574</v>
      </c>
      <c r="B100" s="3" t="s">
        <v>121</v>
      </c>
      <c r="D100" s="3">
        <v>30</v>
      </c>
      <c r="H100" s="3">
        <v>16</v>
      </c>
      <c r="Q100" s="3" t="s">
        <v>122</v>
      </c>
      <c r="S100" s="3">
        <v>6</v>
      </c>
      <c r="T100" s="3" t="s">
        <v>44</v>
      </c>
      <c r="U100" s="3"/>
      <c r="V100" s="3"/>
      <c r="W100" s="3"/>
    </row>
    <row r="101" spans="1:23" ht="13" x14ac:dyDescent="0.15">
      <c r="A101" s="2">
        <v>45562.543330335648</v>
      </c>
      <c r="B101" s="3" t="s">
        <v>123</v>
      </c>
      <c r="D101" s="3">
        <v>4</v>
      </c>
      <c r="F101" s="7">
        <v>200</v>
      </c>
      <c r="G101" s="3">
        <v>12</v>
      </c>
      <c r="I101" s="3" t="s">
        <v>82</v>
      </c>
      <c r="J101" s="3" t="s">
        <v>124</v>
      </c>
      <c r="K101" s="3" t="s">
        <v>26</v>
      </c>
      <c r="L101" s="3" t="s">
        <v>125</v>
      </c>
      <c r="M101" s="3">
        <v>3</v>
      </c>
      <c r="P101" s="3" t="s">
        <v>28</v>
      </c>
      <c r="Q101" s="3" t="s">
        <v>126</v>
      </c>
      <c r="S101" s="3">
        <v>6</v>
      </c>
      <c r="T101" s="3" t="s">
        <v>55</v>
      </c>
      <c r="U101" s="3"/>
      <c r="V101" s="3"/>
      <c r="W101" s="3"/>
    </row>
    <row r="102" spans="1:23" ht="13" x14ac:dyDescent="0.15">
      <c r="A102" s="2">
        <v>45562.543566249995</v>
      </c>
      <c r="B102" s="3" t="s">
        <v>123</v>
      </c>
      <c r="Q102" s="3" t="s">
        <v>127</v>
      </c>
      <c r="T102" s="3" t="s">
        <v>55</v>
      </c>
      <c r="U102" s="3"/>
      <c r="V102" s="3"/>
      <c r="W102" s="3"/>
    </row>
    <row r="103" spans="1:23" ht="13" x14ac:dyDescent="0.15">
      <c r="A103" s="2">
        <v>45562.543804375004</v>
      </c>
      <c r="B103" s="3" t="s">
        <v>123</v>
      </c>
      <c r="Q103" s="3" t="s">
        <v>128</v>
      </c>
      <c r="T103" s="3" t="s">
        <v>55</v>
      </c>
      <c r="U103" s="3"/>
      <c r="V103" s="3"/>
      <c r="W103" s="3"/>
    </row>
    <row r="104" spans="1:23" ht="13" x14ac:dyDescent="0.15">
      <c r="A104" s="2">
        <v>45562.544241875003</v>
      </c>
      <c r="B104" s="3" t="s">
        <v>123</v>
      </c>
      <c r="Q104" s="3" t="s">
        <v>129</v>
      </c>
      <c r="T104" s="3" t="s">
        <v>55</v>
      </c>
      <c r="U104" s="3"/>
      <c r="V104" s="3"/>
      <c r="W104" s="3"/>
    </row>
    <row r="105" spans="1:23" ht="13" x14ac:dyDescent="0.15">
      <c r="A105" s="2">
        <v>45562.54468525463</v>
      </c>
      <c r="B105" s="3" t="s">
        <v>123</v>
      </c>
      <c r="Q105" s="3" t="s">
        <v>130</v>
      </c>
      <c r="T105" s="3" t="s">
        <v>55</v>
      </c>
      <c r="U105" s="3"/>
      <c r="V105" s="3"/>
      <c r="W105" s="3"/>
    </row>
    <row r="106" spans="1:23" ht="13" x14ac:dyDescent="0.15">
      <c r="A106" s="2">
        <v>45562.60109733796</v>
      </c>
      <c r="B106" s="3" t="s">
        <v>131</v>
      </c>
      <c r="D106" s="3">
        <v>14</v>
      </c>
      <c r="G106" s="3">
        <v>32</v>
      </c>
      <c r="H106" s="3">
        <v>11</v>
      </c>
      <c r="L106" s="3" t="s">
        <v>132</v>
      </c>
      <c r="Q106" s="3" t="s">
        <v>133</v>
      </c>
      <c r="R106" s="3" t="s">
        <v>134</v>
      </c>
      <c r="T106" s="3" t="s">
        <v>62</v>
      </c>
      <c r="U106" s="3"/>
      <c r="V106" s="3"/>
      <c r="W106" s="3"/>
    </row>
    <row r="107" spans="1:23" ht="13" x14ac:dyDescent="0.15">
      <c r="A107" s="2">
        <v>45565.375459675925</v>
      </c>
      <c r="B107" s="3" t="s">
        <v>135</v>
      </c>
      <c r="F107" s="3">
        <v>0</v>
      </c>
      <c r="G107" s="3">
        <v>23</v>
      </c>
      <c r="H107" s="3">
        <v>4</v>
      </c>
      <c r="L107" s="3" t="s">
        <v>136</v>
      </c>
      <c r="M107" s="3">
        <v>0</v>
      </c>
      <c r="R107" s="3" t="s">
        <v>137</v>
      </c>
      <c r="S107" s="3">
        <v>0</v>
      </c>
      <c r="T107" s="3" t="s">
        <v>61</v>
      </c>
      <c r="U107" s="3"/>
      <c r="V107" s="3"/>
      <c r="W107" s="3"/>
    </row>
    <row r="108" spans="1:23" ht="13" x14ac:dyDescent="0.15">
      <c r="A108" s="2">
        <v>45565.375791168983</v>
      </c>
      <c r="B108" s="3" t="s">
        <v>135</v>
      </c>
      <c r="D108" s="3">
        <v>4</v>
      </c>
      <c r="I108" s="3" t="s">
        <v>35</v>
      </c>
      <c r="J108" s="3" t="s">
        <v>25</v>
      </c>
      <c r="K108" s="3" t="s">
        <v>138</v>
      </c>
      <c r="T108" s="3" t="s">
        <v>61</v>
      </c>
      <c r="U108" s="3"/>
      <c r="V108" s="3"/>
      <c r="W108" s="3"/>
    </row>
    <row r="109" spans="1:23" ht="13" x14ac:dyDescent="0.15">
      <c r="A109" s="2">
        <v>45565.377445243052</v>
      </c>
      <c r="B109" s="3" t="s">
        <v>135</v>
      </c>
      <c r="D109" s="3">
        <v>4</v>
      </c>
      <c r="I109" s="3" t="s">
        <v>84</v>
      </c>
      <c r="J109" s="3" t="s">
        <v>25</v>
      </c>
      <c r="K109" s="3" t="s">
        <v>138</v>
      </c>
      <c r="T109" s="3" t="s">
        <v>61</v>
      </c>
      <c r="U109" s="3"/>
      <c r="V109" s="3"/>
      <c r="W109" s="3"/>
    </row>
    <row r="110" spans="1:23" ht="13" x14ac:dyDescent="0.15">
      <c r="A110" s="2">
        <v>45565.377927546295</v>
      </c>
      <c r="B110" s="3" t="s">
        <v>135</v>
      </c>
      <c r="D110" s="3">
        <v>4</v>
      </c>
      <c r="I110" s="3" t="s">
        <v>82</v>
      </c>
      <c r="J110" s="3" t="s">
        <v>25</v>
      </c>
      <c r="K110" s="3" t="s">
        <v>139</v>
      </c>
      <c r="T110" s="3" t="s">
        <v>61</v>
      </c>
      <c r="U110" s="3"/>
      <c r="V110" s="3"/>
      <c r="W110" s="3"/>
    </row>
    <row r="111" spans="1:23" ht="13" x14ac:dyDescent="0.15">
      <c r="A111" s="2">
        <v>45565.379084166663</v>
      </c>
      <c r="B111" s="3" t="s">
        <v>135</v>
      </c>
      <c r="D111" s="3">
        <v>1</v>
      </c>
      <c r="I111" s="3" t="s">
        <v>76</v>
      </c>
      <c r="J111" s="3" t="s">
        <v>103</v>
      </c>
      <c r="K111" s="3" t="s">
        <v>140</v>
      </c>
      <c r="T111" s="3" t="s">
        <v>61</v>
      </c>
      <c r="U111" s="3"/>
      <c r="V111" s="3"/>
      <c r="W111" s="3"/>
    </row>
    <row r="112" spans="1:23" ht="13" x14ac:dyDescent="0.15">
      <c r="A112" s="2">
        <v>45565.381458472228</v>
      </c>
      <c r="B112" s="3" t="s">
        <v>135</v>
      </c>
      <c r="D112" s="3">
        <v>4</v>
      </c>
      <c r="I112" s="3" t="s">
        <v>82</v>
      </c>
      <c r="J112" s="3" t="s">
        <v>25</v>
      </c>
      <c r="K112" s="3" t="s">
        <v>26</v>
      </c>
      <c r="T112" s="3" t="s">
        <v>61</v>
      </c>
      <c r="U112" s="3"/>
      <c r="V112" s="3"/>
      <c r="W112" s="3"/>
    </row>
    <row r="113" spans="1:23" ht="13" x14ac:dyDescent="0.15">
      <c r="A113" s="2">
        <v>45565.502840335648</v>
      </c>
      <c r="B113" s="3" t="s">
        <v>141</v>
      </c>
      <c r="D113" s="3">
        <v>16</v>
      </c>
      <c r="G113" s="3">
        <v>25</v>
      </c>
      <c r="H113" s="3">
        <v>12</v>
      </c>
      <c r="I113" s="3" t="s">
        <v>102</v>
      </c>
      <c r="J113" s="3" t="s">
        <v>77</v>
      </c>
      <c r="K113" s="3" t="s">
        <v>142</v>
      </c>
      <c r="L113" s="3" t="s">
        <v>143</v>
      </c>
      <c r="M113" s="3">
        <v>1</v>
      </c>
      <c r="Q113" s="3" t="s">
        <v>144</v>
      </c>
      <c r="R113" s="3" t="s">
        <v>145</v>
      </c>
      <c r="T113" s="3" t="s">
        <v>59</v>
      </c>
      <c r="U113" s="3"/>
      <c r="V113" s="3"/>
      <c r="W113" s="3"/>
    </row>
    <row r="114" spans="1:23" ht="13" x14ac:dyDescent="0.15">
      <c r="A114" s="2">
        <v>45565.503622372686</v>
      </c>
      <c r="B114" s="3" t="s">
        <v>141</v>
      </c>
      <c r="I114" s="3" t="s">
        <v>24</v>
      </c>
      <c r="J114" s="3" t="s">
        <v>103</v>
      </c>
      <c r="K114" s="3" t="s">
        <v>146</v>
      </c>
      <c r="Q114" s="3" t="s">
        <v>147</v>
      </c>
      <c r="T114" s="3" t="s">
        <v>59</v>
      </c>
      <c r="U114" s="3"/>
      <c r="V114" s="3"/>
      <c r="W114" s="3"/>
    </row>
    <row r="115" spans="1:23" ht="13" x14ac:dyDescent="0.15">
      <c r="A115" s="2">
        <v>45565.526946157406</v>
      </c>
      <c r="B115" s="3" t="s">
        <v>69</v>
      </c>
      <c r="D115" s="3">
        <v>8</v>
      </c>
      <c r="G115" s="3">
        <v>6</v>
      </c>
      <c r="H115" s="3">
        <v>15</v>
      </c>
      <c r="I115" s="3" t="s">
        <v>76</v>
      </c>
      <c r="J115" s="3" t="s">
        <v>25</v>
      </c>
      <c r="K115" s="3" t="s">
        <v>41</v>
      </c>
      <c r="R115" s="3" t="s">
        <v>148</v>
      </c>
      <c r="S115" s="3">
        <v>1</v>
      </c>
      <c r="T115" s="3" t="s">
        <v>54</v>
      </c>
      <c r="U115" s="3"/>
      <c r="V115" s="3"/>
      <c r="W115" s="3"/>
    </row>
    <row r="116" spans="1:23" ht="13" x14ac:dyDescent="0.15">
      <c r="A116" s="2">
        <v>45565.527643796297</v>
      </c>
      <c r="B116" s="3" t="s">
        <v>69</v>
      </c>
      <c r="P116" s="3" t="s">
        <v>28</v>
      </c>
      <c r="R116" s="3" t="s">
        <v>73</v>
      </c>
      <c r="T116" s="3" t="s">
        <v>54</v>
      </c>
      <c r="U116" s="3"/>
      <c r="V116" s="3"/>
      <c r="W116" s="3"/>
    </row>
    <row r="117" spans="1:23" ht="13" x14ac:dyDescent="0.15">
      <c r="A117" s="2">
        <v>45565.528694131943</v>
      </c>
      <c r="B117" s="3" t="s">
        <v>69</v>
      </c>
      <c r="R117" s="3" t="s">
        <v>88</v>
      </c>
      <c r="T117" s="3" t="s">
        <v>54</v>
      </c>
      <c r="U117" s="3"/>
      <c r="V117" s="3"/>
      <c r="W117" s="3"/>
    </row>
    <row r="118" spans="1:23" ht="13" x14ac:dyDescent="0.15">
      <c r="A118" s="2">
        <v>45565.528844513887</v>
      </c>
      <c r="B118" s="3" t="s">
        <v>69</v>
      </c>
      <c r="R118" s="3" t="s">
        <v>88</v>
      </c>
      <c r="T118" s="3" t="s">
        <v>54</v>
      </c>
      <c r="U118" s="3"/>
      <c r="V118" s="3"/>
      <c r="W118" s="3"/>
    </row>
    <row r="119" spans="1:23" ht="13" x14ac:dyDescent="0.15">
      <c r="A119" s="2">
        <v>45566.584282453703</v>
      </c>
      <c r="B119" s="3" t="s">
        <v>149</v>
      </c>
      <c r="D119" s="3">
        <v>23</v>
      </c>
      <c r="G119" s="3">
        <v>30</v>
      </c>
      <c r="H119" s="3">
        <v>5</v>
      </c>
      <c r="I119" s="3" t="s">
        <v>102</v>
      </c>
      <c r="K119" s="3" t="s">
        <v>142</v>
      </c>
      <c r="L119" s="3" t="s">
        <v>150</v>
      </c>
      <c r="M119" s="3">
        <v>45</v>
      </c>
      <c r="T119" s="3" t="s">
        <v>45</v>
      </c>
      <c r="U119" s="3"/>
      <c r="V119" s="3"/>
      <c r="W119" s="3"/>
    </row>
    <row r="120" spans="1:23" ht="13" x14ac:dyDescent="0.15">
      <c r="A120" s="2">
        <v>45566.584556203699</v>
      </c>
      <c r="B120" s="3" t="s">
        <v>149</v>
      </c>
      <c r="I120" s="3" t="s">
        <v>102</v>
      </c>
      <c r="K120" s="3" t="s">
        <v>151</v>
      </c>
      <c r="T120" s="3" t="s">
        <v>45</v>
      </c>
      <c r="U120" s="3"/>
      <c r="V120" s="3"/>
      <c r="W120" s="3"/>
    </row>
    <row r="121" spans="1:23" ht="13" x14ac:dyDescent="0.15">
      <c r="A121" s="2">
        <v>45566.584761296297</v>
      </c>
      <c r="B121" s="3" t="s">
        <v>149</v>
      </c>
      <c r="I121" s="3" t="s">
        <v>102</v>
      </c>
      <c r="K121" s="3" t="s">
        <v>146</v>
      </c>
      <c r="T121" s="3" t="s">
        <v>45</v>
      </c>
      <c r="U121" s="3"/>
      <c r="V121" s="3"/>
      <c r="W121" s="3"/>
    </row>
    <row r="122" spans="1:23" ht="13" x14ac:dyDescent="0.15">
      <c r="A122" s="2">
        <v>45566.585048506946</v>
      </c>
      <c r="B122" s="3" t="s">
        <v>149</v>
      </c>
      <c r="I122" s="3" t="s">
        <v>102</v>
      </c>
      <c r="K122" s="3" t="s">
        <v>138</v>
      </c>
      <c r="T122" s="3" t="s">
        <v>45</v>
      </c>
      <c r="U122" s="3"/>
      <c r="V122" s="3"/>
      <c r="W122" s="3"/>
    </row>
    <row r="123" spans="1:23" ht="13" x14ac:dyDescent="0.15">
      <c r="A123" s="2">
        <v>45566.585247418981</v>
      </c>
      <c r="B123" s="3" t="s">
        <v>149</v>
      </c>
      <c r="I123" s="3" t="s">
        <v>102</v>
      </c>
      <c r="K123" s="3" t="s">
        <v>139</v>
      </c>
      <c r="T123" s="3" t="s">
        <v>45</v>
      </c>
      <c r="U123" s="3"/>
      <c r="V123" s="3"/>
      <c r="W123" s="3"/>
    </row>
    <row r="124" spans="1:23" ht="13" x14ac:dyDescent="0.15">
      <c r="A124" s="2">
        <v>45566.585479444446</v>
      </c>
      <c r="B124" s="3" t="s">
        <v>149</v>
      </c>
      <c r="I124" s="3" t="s">
        <v>102</v>
      </c>
      <c r="K124" s="3" t="s">
        <v>140</v>
      </c>
      <c r="T124" s="3" t="s">
        <v>45</v>
      </c>
      <c r="U124" s="3"/>
      <c r="V124" s="3"/>
      <c r="W124" s="3"/>
    </row>
    <row r="125" spans="1:23" ht="13" x14ac:dyDescent="0.15">
      <c r="A125" s="2">
        <v>45566.586406030096</v>
      </c>
      <c r="B125" s="3" t="s">
        <v>149</v>
      </c>
      <c r="D125" s="3">
        <v>2</v>
      </c>
      <c r="I125" s="3" t="s">
        <v>35</v>
      </c>
      <c r="J125" s="3" t="s">
        <v>25</v>
      </c>
      <c r="K125" s="3" t="s">
        <v>152</v>
      </c>
      <c r="P125" s="3" t="s">
        <v>153</v>
      </c>
      <c r="T125" s="3" t="s">
        <v>45</v>
      </c>
      <c r="U125" s="3"/>
      <c r="V125" s="3"/>
      <c r="W125" s="3"/>
    </row>
    <row r="126" spans="1:23" ht="13" x14ac:dyDescent="0.15">
      <c r="A126" s="2">
        <v>45567.493634930557</v>
      </c>
      <c r="B126" s="3" t="s">
        <v>141</v>
      </c>
      <c r="C126" s="3">
        <v>1558</v>
      </c>
      <c r="D126" s="3">
        <v>4</v>
      </c>
      <c r="H126" s="3">
        <v>4</v>
      </c>
      <c r="I126" s="3" t="s">
        <v>35</v>
      </c>
      <c r="J126" s="3" t="s">
        <v>25</v>
      </c>
      <c r="K126" s="3" t="s">
        <v>142</v>
      </c>
      <c r="L126" s="3" t="s">
        <v>154</v>
      </c>
      <c r="P126" s="3" t="s">
        <v>28</v>
      </c>
      <c r="S126" s="3">
        <v>1</v>
      </c>
      <c r="T126" s="3" t="s">
        <v>59</v>
      </c>
      <c r="U126" s="3"/>
      <c r="V126" s="3"/>
      <c r="W126" s="3"/>
    </row>
    <row r="127" spans="1:23" ht="13" x14ac:dyDescent="0.15">
      <c r="A127" s="2">
        <v>45567.529660810185</v>
      </c>
      <c r="B127" s="3" t="s">
        <v>91</v>
      </c>
      <c r="D127" s="3">
        <v>3</v>
      </c>
      <c r="I127" s="3" t="s">
        <v>76</v>
      </c>
      <c r="J127" s="3" t="s">
        <v>70</v>
      </c>
      <c r="K127" s="3" t="s">
        <v>97</v>
      </c>
      <c r="T127" s="3" t="s">
        <v>33</v>
      </c>
      <c r="U127" s="3"/>
      <c r="V127" s="3"/>
      <c r="W127" s="3"/>
    </row>
    <row r="128" spans="1:23" ht="13" x14ac:dyDescent="0.15">
      <c r="A128" s="2">
        <v>45567.53000914352</v>
      </c>
      <c r="B128" s="3" t="s">
        <v>91</v>
      </c>
      <c r="D128" s="3">
        <v>1</v>
      </c>
      <c r="I128" s="3" t="s">
        <v>82</v>
      </c>
      <c r="J128" s="3" t="s">
        <v>70</v>
      </c>
      <c r="K128" s="3" t="s">
        <v>97</v>
      </c>
      <c r="T128" s="3" t="s">
        <v>33</v>
      </c>
      <c r="U128" s="3"/>
      <c r="V128" s="3"/>
      <c r="W128" s="3"/>
    </row>
    <row r="129" spans="1:23" ht="13" x14ac:dyDescent="0.15">
      <c r="A129" s="2">
        <v>45567.532299155093</v>
      </c>
      <c r="B129" s="3" t="s">
        <v>91</v>
      </c>
      <c r="F129" s="3">
        <v>540</v>
      </c>
      <c r="G129" s="3">
        <v>16</v>
      </c>
      <c r="M129" s="3">
        <v>64</v>
      </c>
      <c r="Q129" s="3" t="s">
        <v>155</v>
      </c>
      <c r="T129" s="3" t="s">
        <v>33</v>
      </c>
      <c r="U129" s="3"/>
      <c r="V129" s="3"/>
      <c r="W129" s="3"/>
    </row>
    <row r="130" spans="1:23" ht="13" x14ac:dyDescent="0.15">
      <c r="A130" s="2">
        <v>45567.555672916671</v>
      </c>
      <c r="B130" s="3" t="s">
        <v>91</v>
      </c>
      <c r="D130" s="3">
        <v>4</v>
      </c>
      <c r="I130" s="3" t="s">
        <v>102</v>
      </c>
      <c r="K130" s="3" t="s">
        <v>101</v>
      </c>
      <c r="Q130" s="3" t="s">
        <v>93</v>
      </c>
      <c r="T130" s="3" t="s">
        <v>33</v>
      </c>
      <c r="U130" s="3"/>
      <c r="V130" s="3"/>
      <c r="W130" s="3"/>
    </row>
    <row r="131" spans="1:23" ht="13" x14ac:dyDescent="0.15">
      <c r="A131" s="2">
        <v>45567.556267557869</v>
      </c>
      <c r="B131" s="3" t="s">
        <v>91</v>
      </c>
      <c r="D131" s="3">
        <v>5</v>
      </c>
      <c r="I131" s="3" t="s">
        <v>24</v>
      </c>
      <c r="J131" s="3" t="s">
        <v>25</v>
      </c>
      <c r="K131" s="3" t="s">
        <v>97</v>
      </c>
      <c r="Q131" s="3" t="s">
        <v>108</v>
      </c>
      <c r="T131" s="3" t="s">
        <v>33</v>
      </c>
      <c r="U131" s="3"/>
      <c r="V131" s="3"/>
      <c r="W131" s="3"/>
    </row>
    <row r="132" spans="1:23" ht="13" x14ac:dyDescent="0.15">
      <c r="A132" s="2">
        <v>45567.606713692134</v>
      </c>
      <c r="B132" s="3" t="s">
        <v>79</v>
      </c>
      <c r="L132" s="3" t="s">
        <v>156</v>
      </c>
      <c r="M132" s="3">
        <v>1</v>
      </c>
      <c r="Q132" s="3" t="s">
        <v>157</v>
      </c>
      <c r="S132" s="3">
        <v>2</v>
      </c>
      <c r="T132" s="3" t="s">
        <v>52</v>
      </c>
      <c r="U132" s="3"/>
      <c r="V132" s="3"/>
      <c r="W132" s="3"/>
    </row>
    <row r="133" spans="1:23" ht="13" x14ac:dyDescent="0.15">
      <c r="A133" s="2">
        <v>45567.607692650461</v>
      </c>
      <c r="B133" s="3" t="s">
        <v>79</v>
      </c>
      <c r="D133" s="3">
        <v>1</v>
      </c>
      <c r="I133" s="3" t="s">
        <v>102</v>
      </c>
      <c r="K133" s="3" t="s">
        <v>158</v>
      </c>
      <c r="T133" s="3" t="s">
        <v>52</v>
      </c>
      <c r="U133" s="3"/>
      <c r="V133" s="3"/>
      <c r="W133" s="3"/>
    </row>
    <row r="134" spans="1:23" ht="13" x14ac:dyDescent="0.15">
      <c r="A134" s="2">
        <v>45567.60846043982</v>
      </c>
      <c r="B134" s="3" t="s">
        <v>79</v>
      </c>
      <c r="G134" s="3">
        <v>7</v>
      </c>
      <c r="T134" s="3" t="s">
        <v>52</v>
      </c>
      <c r="U134" s="3"/>
      <c r="V134" s="3"/>
      <c r="W134" s="3"/>
    </row>
    <row r="135" spans="1:23" ht="13" x14ac:dyDescent="0.15">
      <c r="A135" s="2">
        <v>45567.612453402777</v>
      </c>
      <c r="B135" s="3" t="s">
        <v>91</v>
      </c>
      <c r="D135" s="3">
        <v>5</v>
      </c>
      <c r="I135" s="3" t="s">
        <v>82</v>
      </c>
      <c r="J135" s="3" t="s">
        <v>65</v>
      </c>
      <c r="K135" s="3" t="s">
        <v>159</v>
      </c>
      <c r="Q135" s="3" t="s">
        <v>106</v>
      </c>
      <c r="T135" s="3" t="s">
        <v>33</v>
      </c>
      <c r="U135" s="3"/>
      <c r="V135" s="3"/>
      <c r="W135" s="3"/>
    </row>
    <row r="136" spans="1:23" ht="13" x14ac:dyDescent="0.15">
      <c r="A136" s="2">
        <v>45567.612850972218</v>
      </c>
      <c r="B136" s="3" t="s">
        <v>91</v>
      </c>
      <c r="D136" s="3">
        <v>2</v>
      </c>
      <c r="I136" s="3" t="s">
        <v>102</v>
      </c>
      <c r="J136" s="3" t="s">
        <v>25</v>
      </c>
      <c r="K136" s="3" t="s">
        <v>100</v>
      </c>
      <c r="Q136" s="3" t="s">
        <v>106</v>
      </c>
      <c r="T136" s="3" t="s">
        <v>33</v>
      </c>
      <c r="U136" s="3"/>
      <c r="V136" s="3"/>
      <c r="W136" s="3"/>
    </row>
    <row r="137" spans="1:23" ht="13" x14ac:dyDescent="0.15">
      <c r="A137" s="2">
        <v>45567.613754918981</v>
      </c>
      <c r="B137" s="3" t="s">
        <v>91</v>
      </c>
      <c r="D137" s="3">
        <v>1</v>
      </c>
      <c r="I137" s="3" t="s">
        <v>76</v>
      </c>
      <c r="J137" s="3" t="s">
        <v>70</v>
      </c>
      <c r="K137" s="3" t="s">
        <v>97</v>
      </c>
      <c r="Q137" s="3" t="s">
        <v>110</v>
      </c>
      <c r="T137" s="3" t="s">
        <v>33</v>
      </c>
      <c r="U137" s="3"/>
      <c r="V137" s="3"/>
      <c r="W137" s="3"/>
    </row>
    <row r="138" spans="1:23" ht="13" x14ac:dyDescent="0.15">
      <c r="A138" s="2">
        <v>45567.614554050924</v>
      </c>
      <c r="B138" s="3" t="s">
        <v>91</v>
      </c>
      <c r="D138" s="3">
        <v>1</v>
      </c>
      <c r="I138" s="3" t="s">
        <v>84</v>
      </c>
      <c r="J138" s="3" t="s">
        <v>25</v>
      </c>
      <c r="K138" s="3" t="s">
        <v>97</v>
      </c>
      <c r="Q138" s="3" t="s">
        <v>110</v>
      </c>
      <c r="T138" s="3" t="s">
        <v>33</v>
      </c>
      <c r="U138" s="3"/>
      <c r="V138" s="3"/>
      <c r="W138" s="3"/>
    </row>
    <row r="139" spans="1:23" ht="13" x14ac:dyDescent="0.15">
      <c r="A139" s="2">
        <v>45567.615259398153</v>
      </c>
      <c r="B139" s="3" t="s">
        <v>91</v>
      </c>
      <c r="D139" s="3">
        <v>4</v>
      </c>
      <c r="I139" s="3" t="s">
        <v>102</v>
      </c>
      <c r="J139" s="3" t="s">
        <v>25</v>
      </c>
      <c r="K139" s="3" t="s">
        <v>37</v>
      </c>
      <c r="P139" s="3" t="s">
        <v>160</v>
      </c>
      <c r="R139" s="3" t="s">
        <v>161</v>
      </c>
      <c r="T139" s="3" t="s">
        <v>33</v>
      </c>
      <c r="U139" s="3"/>
      <c r="V139" s="3"/>
      <c r="W139" s="3"/>
    </row>
    <row r="140" spans="1:23" ht="13" x14ac:dyDescent="0.15">
      <c r="A140" s="2">
        <v>45567.616004629628</v>
      </c>
      <c r="B140" s="3" t="s">
        <v>91</v>
      </c>
      <c r="D140" s="3">
        <v>2</v>
      </c>
      <c r="I140" s="3" t="s">
        <v>82</v>
      </c>
      <c r="J140" s="3" t="s">
        <v>25</v>
      </c>
      <c r="K140" s="3" t="s">
        <v>97</v>
      </c>
      <c r="P140" s="3" t="s">
        <v>162</v>
      </c>
      <c r="R140" s="3" t="s">
        <v>161</v>
      </c>
      <c r="T140" s="3" t="s">
        <v>33</v>
      </c>
      <c r="U140" s="3"/>
      <c r="V140" s="3"/>
      <c r="W140" s="3"/>
    </row>
    <row r="141" spans="1:23" ht="13" x14ac:dyDescent="0.15">
      <c r="A141" s="2">
        <v>45567.61705976852</v>
      </c>
      <c r="B141" s="3" t="s">
        <v>91</v>
      </c>
      <c r="D141" s="3">
        <v>3</v>
      </c>
      <c r="I141" s="3" t="s">
        <v>76</v>
      </c>
      <c r="J141" s="3" t="s">
        <v>70</v>
      </c>
      <c r="K141" s="3" t="s">
        <v>97</v>
      </c>
      <c r="P141" s="3" t="s">
        <v>86</v>
      </c>
      <c r="R141" s="3" t="s">
        <v>163</v>
      </c>
      <c r="T141" s="3" t="s">
        <v>33</v>
      </c>
      <c r="U141" s="3"/>
      <c r="V141" s="3"/>
      <c r="W141" s="3"/>
    </row>
    <row r="142" spans="1:23" ht="13" x14ac:dyDescent="0.15">
      <c r="A142" s="2">
        <v>45567.6194946412</v>
      </c>
      <c r="B142" s="3" t="s">
        <v>91</v>
      </c>
      <c r="D142" s="3">
        <v>12</v>
      </c>
      <c r="I142" s="3" t="s">
        <v>35</v>
      </c>
      <c r="J142" s="3" t="s">
        <v>25</v>
      </c>
      <c r="K142" s="3" t="s">
        <v>164</v>
      </c>
      <c r="P142" s="3" t="s">
        <v>92</v>
      </c>
      <c r="R142" s="3" t="s">
        <v>165</v>
      </c>
      <c r="T142" s="3" t="s">
        <v>33</v>
      </c>
      <c r="U142" s="3"/>
      <c r="V142" s="3"/>
      <c r="W142" s="3"/>
    </row>
    <row r="143" spans="1:23" ht="13" x14ac:dyDescent="0.15">
      <c r="A143" s="2">
        <v>45567.620889618054</v>
      </c>
      <c r="B143" s="3" t="s">
        <v>91</v>
      </c>
      <c r="D143" s="3">
        <v>2</v>
      </c>
      <c r="I143" s="3" t="s">
        <v>84</v>
      </c>
      <c r="J143" s="3" t="s">
        <v>77</v>
      </c>
      <c r="K143" s="3" t="s">
        <v>100</v>
      </c>
      <c r="P143" s="3" t="s">
        <v>92</v>
      </c>
      <c r="R143" s="3" t="s">
        <v>165</v>
      </c>
      <c r="T143" s="3" t="s">
        <v>33</v>
      </c>
      <c r="U143" s="3"/>
      <c r="V143" s="3"/>
      <c r="W143" s="3"/>
    </row>
    <row r="144" spans="1:23" ht="13" x14ac:dyDescent="0.15">
      <c r="A144" s="2">
        <v>45567.622060208334</v>
      </c>
      <c r="B144" s="3" t="s">
        <v>91</v>
      </c>
      <c r="D144" s="3">
        <v>3</v>
      </c>
      <c r="I144" s="3" t="s">
        <v>82</v>
      </c>
      <c r="J144" s="3" t="s">
        <v>25</v>
      </c>
      <c r="K144" s="3" t="s">
        <v>164</v>
      </c>
      <c r="P144" s="3" t="s">
        <v>116</v>
      </c>
      <c r="R144" s="3" t="s">
        <v>117</v>
      </c>
      <c r="T144" s="3" t="s">
        <v>33</v>
      </c>
      <c r="U144" s="3"/>
      <c r="V144" s="3"/>
      <c r="W144" s="3"/>
    </row>
    <row r="145" spans="1:23" ht="13" x14ac:dyDescent="0.15">
      <c r="A145" s="2">
        <v>45567.623009768518</v>
      </c>
      <c r="B145" s="3" t="s">
        <v>91</v>
      </c>
      <c r="R145" s="3" t="s">
        <v>166</v>
      </c>
      <c r="T145" s="3" t="s">
        <v>33</v>
      </c>
      <c r="U145" s="3"/>
      <c r="V145" s="3"/>
      <c r="W145" s="3"/>
    </row>
    <row r="146" spans="1:23" ht="13" x14ac:dyDescent="0.15">
      <c r="A146" s="2">
        <v>45567.623984652775</v>
      </c>
      <c r="B146" s="3" t="s">
        <v>91</v>
      </c>
      <c r="R146" s="3" t="s">
        <v>167</v>
      </c>
      <c r="T146" s="3" t="s">
        <v>33</v>
      </c>
      <c r="U146" s="3"/>
      <c r="V146" s="3"/>
      <c r="W146" s="3"/>
    </row>
    <row r="147" spans="1:23" ht="13" x14ac:dyDescent="0.15">
      <c r="A147" s="2">
        <v>45567.624270902779</v>
      </c>
      <c r="B147" s="3" t="s">
        <v>91</v>
      </c>
      <c r="R147" s="3" t="s">
        <v>168</v>
      </c>
      <c r="T147" s="3" t="s">
        <v>33</v>
      </c>
      <c r="U147" s="3"/>
      <c r="V147" s="3"/>
      <c r="W147" s="3"/>
    </row>
    <row r="148" spans="1:23" ht="13" x14ac:dyDescent="0.15">
      <c r="A148" s="2">
        <v>45567.624549976856</v>
      </c>
      <c r="B148" s="3" t="s">
        <v>91</v>
      </c>
      <c r="R148" s="3" t="s">
        <v>169</v>
      </c>
      <c r="T148" s="3" t="s">
        <v>33</v>
      </c>
      <c r="U148" s="3"/>
      <c r="V148" s="3"/>
      <c r="W148" s="3"/>
    </row>
    <row r="149" spans="1:23" ht="13" x14ac:dyDescent="0.15">
      <c r="A149" s="2">
        <v>45567.625879791667</v>
      </c>
      <c r="B149" s="3" t="s">
        <v>91</v>
      </c>
      <c r="R149" s="3" t="s">
        <v>170</v>
      </c>
      <c r="T149" s="3" t="s">
        <v>33</v>
      </c>
      <c r="U149" s="3"/>
      <c r="V149" s="3"/>
      <c r="W149" s="3"/>
    </row>
    <row r="150" spans="1:23" ht="13" x14ac:dyDescent="0.15">
      <c r="A150" s="2">
        <v>45568.621648668981</v>
      </c>
      <c r="B150" s="3" t="s">
        <v>47</v>
      </c>
      <c r="D150" s="3">
        <v>1</v>
      </c>
      <c r="G150" s="3">
        <v>4</v>
      </c>
      <c r="L150" s="3" t="s">
        <v>171</v>
      </c>
      <c r="T150" s="3" t="s">
        <v>50</v>
      </c>
      <c r="U150" s="3"/>
      <c r="V150" s="3"/>
      <c r="W150" s="3"/>
    </row>
    <row r="151" spans="1:23" ht="13" x14ac:dyDescent="0.15">
      <c r="A151" s="2">
        <v>45569.361158298612</v>
      </c>
      <c r="B151" s="3" t="s">
        <v>141</v>
      </c>
      <c r="D151" s="3">
        <v>8</v>
      </c>
      <c r="G151" s="3">
        <v>25</v>
      </c>
      <c r="H151" s="3">
        <v>4</v>
      </c>
      <c r="I151" s="3" t="s">
        <v>82</v>
      </c>
      <c r="J151" s="3" t="s">
        <v>25</v>
      </c>
      <c r="K151" s="3" t="s">
        <v>140</v>
      </c>
      <c r="L151" s="3" t="s">
        <v>172</v>
      </c>
      <c r="M151" s="3">
        <v>0</v>
      </c>
      <c r="P151" s="3" t="s">
        <v>173</v>
      </c>
      <c r="S151" s="3">
        <v>1</v>
      </c>
      <c r="T151" s="3" t="s">
        <v>59</v>
      </c>
      <c r="U151" s="3"/>
      <c r="V151" s="3"/>
      <c r="W151" s="3"/>
    </row>
    <row r="152" spans="1:23" ht="13" x14ac:dyDescent="0.15">
      <c r="A152" s="2">
        <v>45569.497260462958</v>
      </c>
      <c r="B152" s="3" t="s">
        <v>174</v>
      </c>
      <c r="D152" s="3">
        <v>8</v>
      </c>
      <c r="H152" s="3">
        <v>30</v>
      </c>
      <c r="I152" s="3" t="s">
        <v>24</v>
      </c>
      <c r="J152" s="3" t="s">
        <v>77</v>
      </c>
      <c r="K152" s="3" t="s">
        <v>40</v>
      </c>
      <c r="L152" s="3" t="s">
        <v>175</v>
      </c>
      <c r="Q152" s="3" t="s">
        <v>176</v>
      </c>
      <c r="S152" s="3">
        <v>3</v>
      </c>
      <c r="T152" s="3" t="s">
        <v>53</v>
      </c>
      <c r="U152" s="3"/>
      <c r="V152" s="3"/>
      <c r="W152" s="3"/>
    </row>
    <row r="153" spans="1:23" ht="13" x14ac:dyDescent="0.15">
      <c r="A153" s="2">
        <v>45569.498616759258</v>
      </c>
      <c r="B153" s="3" t="s">
        <v>174</v>
      </c>
      <c r="Q153" s="3" t="s">
        <v>177</v>
      </c>
      <c r="T153" s="3" t="s">
        <v>53</v>
      </c>
      <c r="U153" s="3"/>
      <c r="V153" s="3"/>
      <c r="W153" s="3"/>
    </row>
    <row r="154" spans="1:23" ht="13" x14ac:dyDescent="0.15">
      <c r="A154" s="2">
        <v>45569.498821493056</v>
      </c>
      <c r="B154" s="3" t="s">
        <v>174</v>
      </c>
      <c r="Q154" s="3" t="s">
        <v>177</v>
      </c>
      <c r="T154" s="3" t="s">
        <v>53</v>
      </c>
      <c r="U154" s="3"/>
      <c r="V154" s="3"/>
      <c r="W154" s="3"/>
    </row>
    <row r="155" spans="1:23" ht="13" x14ac:dyDescent="0.15">
      <c r="A155" s="2">
        <v>45571.650441365739</v>
      </c>
      <c r="B155" s="3" t="s">
        <v>178</v>
      </c>
      <c r="D155" s="3">
        <v>13</v>
      </c>
      <c r="F155" s="3">
        <v>0</v>
      </c>
      <c r="G155" s="3">
        <v>10</v>
      </c>
      <c r="H155" s="3">
        <v>50</v>
      </c>
      <c r="I155" s="3" t="s">
        <v>102</v>
      </c>
      <c r="J155" s="3" t="s">
        <v>25</v>
      </c>
      <c r="K155" s="3" t="s">
        <v>66</v>
      </c>
      <c r="L155" s="3" t="s">
        <v>150</v>
      </c>
      <c r="M155" s="3">
        <v>7</v>
      </c>
      <c r="P155" s="3" t="s">
        <v>49</v>
      </c>
      <c r="Q155" s="3" t="s">
        <v>179</v>
      </c>
      <c r="R155" s="3" t="s">
        <v>180</v>
      </c>
      <c r="S155" s="3">
        <v>11</v>
      </c>
      <c r="T155" s="3" t="s">
        <v>46</v>
      </c>
      <c r="U155" s="3"/>
      <c r="V155" s="3"/>
      <c r="W155" s="3"/>
    </row>
    <row r="156" spans="1:23" ht="13" x14ac:dyDescent="0.15">
      <c r="A156" s="2">
        <v>45571.652086643517</v>
      </c>
      <c r="B156" s="3" t="s">
        <v>178</v>
      </c>
      <c r="P156" s="3" t="s">
        <v>181</v>
      </c>
      <c r="R156" s="3" t="s">
        <v>182</v>
      </c>
      <c r="T156" s="3" t="s">
        <v>46</v>
      </c>
      <c r="U156" s="3"/>
      <c r="V156" s="3"/>
      <c r="W156" s="3"/>
    </row>
    <row r="157" spans="1:23" ht="13" x14ac:dyDescent="0.15">
      <c r="A157" s="2">
        <v>45571.65247296296</v>
      </c>
      <c r="B157" s="3" t="s">
        <v>178</v>
      </c>
      <c r="R157" s="3" t="s">
        <v>183</v>
      </c>
      <c r="T157" s="3" t="s">
        <v>46</v>
      </c>
      <c r="U157" s="3"/>
      <c r="V157" s="3"/>
      <c r="W157" s="3"/>
    </row>
    <row r="158" spans="1:23" ht="13" x14ac:dyDescent="0.15">
      <c r="A158" s="2">
        <v>45571.652931805555</v>
      </c>
      <c r="B158" s="3" t="s">
        <v>178</v>
      </c>
      <c r="R158" s="3" t="s">
        <v>184</v>
      </c>
      <c r="T158" s="3" t="s">
        <v>46</v>
      </c>
      <c r="U158" s="3"/>
      <c r="V158" s="3"/>
      <c r="W158" s="3"/>
    </row>
    <row r="159" spans="1:23" ht="13" x14ac:dyDescent="0.15">
      <c r="A159" s="2">
        <v>45572.585338206016</v>
      </c>
      <c r="B159" s="3" t="s">
        <v>149</v>
      </c>
      <c r="G159" s="3">
        <v>30</v>
      </c>
      <c r="H159" s="3">
        <v>6</v>
      </c>
      <c r="L159" s="3" t="s">
        <v>185</v>
      </c>
      <c r="T159" s="3" t="s">
        <v>45</v>
      </c>
      <c r="U159" s="3"/>
      <c r="V159" s="3"/>
      <c r="W159" s="3"/>
    </row>
    <row r="160" spans="1:23" ht="13" x14ac:dyDescent="0.15">
      <c r="A160" s="2">
        <v>45572.640214699073</v>
      </c>
      <c r="B160" s="3" t="s">
        <v>178</v>
      </c>
      <c r="D160" s="3">
        <v>135</v>
      </c>
      <c r="R160" s="3" t="s">
        <v>186</v>
      </c>
      <c r="T160" s="3" t="s">
        <v>46</v>
      </c>
      <c r="U160" s="3"/>
      <c r="V160" s="3"/>
      <c r="W160" s="3"/>
    </row>
    <row r="161" spans="1:23" ht="13" x14ac:dyDescent="0.15">
      <c r="A161" s="2">
        <v>45573.407918483797</v>
      </c>
      <c r="B161" s="3" t="s">
        <v>79</v>
      </c>
      <c r="H161" s="3">
        <v>2</v>
      </c>
      <c r="T161" s="3" t="s">
        <v>52</v>
      </c>
      <c r="U161" s="3"/>
      <c r="V161" s="3"/>
      <c r="W161" s="3"/>
    </row>
    <row r="162" spans="1:23" ht="13" x14ac:dyDescent="0.15">
      <c r="A162" s="2">
        <v>45573.411740208336</v>
      </c>
      <c r="B162" s="3" t="s">
        <v>51</v>
      </c>
      <c r="C162" s="3">
        <v>2364</v>
      </c>
      <c r="N162" s="3">
        <v>0</v>
      </c>
      <c r="T162" s="3" t="s">
        <v>31</v>
      </c>
      <c r="U162" s="3"/>
      <c r="V162" s="3"/>
      <c r="W162" s="3"/>
    </row>
    <row r="163" spans="1:23" ht="13" x14ac:dyDescent="0.15">
      <c r="A163" s="2">
        <v>45573.412267870372</v>
      </c>
      <c r="B163" s="3" t="s">
        <v>51</v>
      </c>
      <c r="C163" s="3">
        <v>3205</v>
      </c>
      <c r="N163" s="3">
        <v>377</v>
      </c>
      <c r="T163" s="3" t="s">
        <v>42</v>
      </c>
      <c r="U163" s="3"/>
      <c r="V163" s="3"/>
      <c r="W163" s="3"/>
    </row>
    <row r="164" spans="1:23" ht="13" x14ac:dyDescent="0.15">
      <c r="A164" s="2">
        <v>45573.41382105324</v>
      </c>
      <c r="B164" s="3" t="s">
        <v>51</v>
      </c>
      <c r="C164" s="3">
        <v>2474</v>
      </c>
      <c r="N164" s="3">
        <v>142</v>
      </c>
      <c r="T164" s="3" t="s">
        <v>32</v>
      </c>
      <c r="U164" s="3"/>
      <c r="V164" s="3"/>
      <c r="W164" s="3"/>
    </row>
    <row r="165" spans="1:23" ht="13" x14ac:dyDescent="0.15">
      <c r="A165" s="2">
        <v>45573.414292951391</v>
      </c>
      <c r="B165" s="3" t="s">
        <v>51</v>
      </c>
      <c r="C165" s="3">
        <v>1779</v>
      </c>
      <c r="T165" s="3" t="s">
        <v>43</v>
      </c>
      <c r="U165" s="3"/>
      <c r="V165" s="3"/>
      <c r="W165" s="3"/>
    </row>
    <row r="166" spans="1:23" ht="13" x14ac:dyDescent="0.15">
      <c r="A166" s="2">
        <v>45573.414788159724</v>
      </c>
      <c r="B166" s="3" t="s">
        <v>51</v>
      </c>
      <c r="C166" s="3">
        <v>1910</v>
      </c>
      <c r="N166" s="3">
        <v>36</v>
      </c>
      <c r="T166" s="3" t="s">
        <v>44</v>
      </c>
      <c r="U166" s="3"/>
      <c r="V166" s="3"/>
      <c r="W166" s="3"/>
    </row>
    <row r="167" spans="1:23" ht="13" x14ac:dyDescent="0.15">
      <c r="A167" s="2">
        <v>45573.415202048607</v>
      </c>
      <c r="B167" s="3" t="s">
        <v>51</v>
      </c>
      <c r="C167" s="3">
        <v>876</v>
      </c>
      <c r="N167" s="3">
        <v>1</v>
      </c>
      <c r="T167" s="3" t="s">
        <v>45</v>
      </c>
      <c r="U167" s="3"/>
      <c r="V167" s="3"/>
      <c r="W167" s="3"/>
    </row>
    <row r="168" spans="1:23" ht="13" x14ac:dyDescent="0.15">
      <c r="A168" s="2">
        <v>45573.415708854169</v>
      </c>
      <c r="B168" s="3" t="s">
        <v>51</v>
      </c>
      <c r="C168" s="3">
        <v>970</v>
      </c>
      <c r="N168" s="3">
        <v>18</v>
      </c>
      <c r="T168" s="3" t="s">
        <v>46</v>
      </c>
      <c r="U168" s="3"/>
      <c r="V168" s="3"/>
      <c r="W168" s="3"/>
    </row>
    <row r="169" spans="1:23" ht="13" x14ac:dyDescent="0.15">
      <c r="A169" s="2">
        <v>45573.416195416663</v>
      </c>
      <c r="B169" s="3" t="s">
        <v>51</v>
      </c>
      <c r="C169" s="3">
        <v>1468</v>
      </c>
      <c r="N169" s="3">
        <v>144</v>
      </c>
      <c r="T169" s="3" t="s">
        <v>55</v>
      </c>
      <c r="U169" s="3"/>
      <c r="V169" s="3"/>
      <c r="W169" s="3"/>
    </row>
    <row r="170" spans="1:23" ht="13" x14ac:dyDescent="0.15">
      <c r="A170" s="2">
        <v>45573.416596724535</v>
      </c>
      <c r="B170" s="3" t="s">
        <v>51</v>
      </c>
      <c r="C170" s="3">
        <v>1454</v>
      </c>
      <c r="N170" s="3">
        <v>19</v>
      </c>
      <c r="T170" s="3" t="s">
        <v>56</v>
      </c>
      <c r="U170" s="3"/>
      <c r="V170" s="3"/>
      <c r="W170" s="3"/>
    </row>
    <row r="171" spans="1:23" ht="13" x14ac:dyDescent="0.15">
      <c r="A171" s="2">
        <v>45573.41699503472</v>
      </c>
      <c r="B171" s="3" t="s">
        <v>51</v>
      </c>
      <c r="C171" s="3">
        <v>1368</v>
      </c>
      <c r="N171" s="3">
        <v>206</v>
      </c>
      <c r="T171" s="3" t="s">
        <v>57</v>
      </c>
      <c r="U171" s="3"/>
      <c r="V171" s="3"/>
      <c r="W171" s="3"/>
    </row>
    <row r="172" spans="1:23" ht="13" x14ac:dyDescent="0.15">
      <c r="A172" s="2">
        <v>45573.417430729169</v>
      </c>
      <c r="B172" s="3" t="s">
        <v>51</v>
      </c>
      <c r="C172" s="3">
        <v>1308</v>
      </c>
      <c r="N172" s="3">
        <v>0</v>
      </c>
      <c r="T172" s="3" t="s">
        <v>58</v>
      </c>
      <c r="U172" s="3"/>
      <c r="V172" s="3"/>
      <c r="W172" s="3"/>
    </row>
    <row r="173" spans="1:23" ht="13" x14ac:dyDescent="0.15">
      <c r="A173" s="2">
        <v>45573.417824363423</v>
      </c>
      <c r="B173" s="3" t="s">
        <v>51</v>
      </c>
      <c r="C173" s="3">
        <v>1563</v>
      </c>
      <c r="N173" s="3">
        <v>103</v>
      </c>
      <c r="T173" s="3" t="s">
        <v>59</v>
      </c>
      <c r="U173" s="3"/>
      <c r="V173" s="3"/>
      <c r="W173" s="3"/>
    </row>
    <row r="174" spans="1:23" ht="13" x14ac:dyDescent="0.15">
      <c r="A174" s="2">
        <v>45573.418209583338</v>
      </c>
      <c r="B174" s="3" t="s">
        <v>51</v>
      </c>
      <c r="C174" s="3">
        <v>2737</v>
      </c>
      <c r="N174" s="3">
        <v>371</v>
      </c>
      <c r="T174" s="3" t="s">
        <v>60</v>
      </c>
      <c r="U174" s="3"/>
      <c r="V174" s="3"/>
      <c r="W174" s="3"/>
    </row>
    <row r="175" spans="1:23" ht="13" x14ac:dyDescent="0.15">
      <c r="A175" s="2">
        <v>45573.418697233792</v>
      </c>
      <c r="B175" s="3" t="s">
        <v>51</v>
      </c>
      <c r="C175" s="3">
        <v>2125</v>
      </c>
      <c r="N175" s="3">
        <v>219</v>
      </c>
      <c r="T175" s="3" t="s">
        <v>62</v>
      </c>
      <c r="U175" s="3"/>
      <c r="V175" s="3"/>
      <c r="W175" s="3"/>
    </row>
    <row r="176" spans="1:23" ht="13" x14ac:dyDescent="0.15">
      <c r="A176" s="2">
        <v>45573.419075127313</v>
      </c>
      <c r="B176" s="3" t="s">
        <v>51</v>
      </c>
      <c r="C176" s="3">
        <v>2518</v>
      </c>
      <c r="N176" s="3">
        <v>0</v>
      </c>
      <c r="T176" s="3" t="s">
        <v>61</v>
      </c>
      <c r="U176" s="3"/>
      <c r="V176" s="3"/>
      <c r="W176" s="3"/>
    </row>
    <row r="177" spans="1:23" ht="13" x14ac:dyDescent="0.15">
      <c r="A177" s="2">
        <v>45573.419536053239</v>
      </c>
      <c r="B177" s="3" t="s">
        <v>51</v>
      </c>
      <c r="C177" s="3">
        <v>2714</v>
      </c>
      <c r="N177" s="3">
        <v>53</v>
      </c>
      <c r="T177" s="3" t="s">
        <v>63</v>
      </c>
      <c r="U177" s="3"/>
      <c r="V177" s="3"/>
      <c r="W177" s="3"/>
    </row>
    <row r="178" spans="1:23" ht="13" x14ac:dyDescent="0.15">
      <c r="A178" s="2">
        <v>45573.420007303241</v>
      </c>
      <c r="B178" s="3" t="s">
        <v>51</v>
      </c>
      <c r="C178" s="3">
        <v>959</v>
      </c>
      <c r="N178" s="3">
        <v>33</v>
      </c>
      <c r="T178" s="3" t="s">
        <v>64</v>
      </c>
      <c r="U178" s="3"/>
      <c r="V178" s="3"/>
      <c r="W178" s="3"/>
    </row>
    <row r="179" spans="1:23" ht="13" x14ac:dyDescent="0.15">
      <c r="A179" s="2">
        <v>45573.420564791668</v>
      </c>
      <c r="B179" s="3" t="s">
        <v>51</v>
      </c>
      <c r="C179" s="3">
        <v>452</v>
      </c>
      <c r="N179" s="3">
        <v>263</v>
      </c>
      <c r="T179" s="3" t="s">
        <v>39</v>
      </c>
      <c r="U179" s="3"/>
      <c r="V179" s="3"/>
      <c r="W179" s="3"/>
    </row>
    <row r="180" spans="1:23" ht="13" x14ac:dyDescent="0.15">
      <c r="A180" s="2">
        <v>45573.420904212966</v>
      </c>
      <c r="B180" s="3" t="s">
        <v>51</v>
      </c>
      <c r="C180" s="3">
        <v>518</v>
      </c>
      <c r="N180" s="3">
        <v>192</v>
      </c>
      <c r="T180" s="3" t="s">
        <v>52</v>
      </c>
      <c r="U180" s="3"/>
      <c r="V180" s="3"/>
      <c r="W180" s="3"/>
    </row>
    <row r="181" spans="1:23" ht="13" x14ac:dyDescent="0.15">
      <c r="A181" s="2">
        <v>45573.421245370366</v>
      </c>
      <c r="B181" s="3" t="s">
        <v>51</v>
      </c>
      <c r="C181" s="3">
        <v>406</v>
      </c>
      <c r="N181" s="3">
        <v>125</v>
      </c>
      <c r="T181" s="3" t="s">
        <v>53</v>
      </c>
      <c r="U181" s="3"/>
      <c r="V181" s="3"/>
      <c r="W181" s="3"/>
    </row>
    <row r="182" spans="1:23" ht="13" x14ac:dyDescent="0.15">
      <c r="A182" s="2">
        <v>45573.421603645838</v>
      </c>
      <c r="B182" s="3" t="s">
        <v>51</v>
      </c>
      <c r="C182" s="3">
        <v>980</v>
      </c>
      <c r="N182" s="3">
        <v>583</v>
      </c>
      <c r="T182" s="3" t="s">
        <v>54</v>
      </c>
      <c r="U182" s="3"/>
      <c r="V182" s="3"/>
      <c r="W182" s="3"/>
    </row>
    <row r="183" spans="1:23" ht="13" x14ac:dyDescent="0.15">
      <c r="A183" s="2">
        <v>45573.421980648149</v>
      </c>
      <c r="B183" s="3" t="s">
        <v>51</v>
      </c>
      <c r="C183" s="3">
        <v>461</v>
      </c>
      <c r="N183" s="3">
        <v>193</v>
      </c>
      <c r="T183" s="3" t="s">
        <v>50</v>
      </c>
      <c r="U183" s="3"/>
      <c r="V183" s="3"/>
      <c r="W183" s="3"/>
    </row>
    <row r="184" spans="1:23" ht="13" x14ac:dyDescent="0.15">
      <c r="A184" s="2">
        <v>45573.422392581022</v>
      </c>
      <c r="B184" s="3" t="s">
        <v>51</v>
      </c>
      <c r="C184" s="3">
        <v>646</v>
      </c>
      <c r="N184" s="3">
        <v>163</v>
      </c>
      <c r="T184" s="3" t="s">
        <v>33</v>
      </c>
      <c r="U184" s="3"/>
      <c r="V184" s="3"/>
      <c r="W184" s="3"/>
    </row>
    <row r="185" spans="1:23" ht="13" x14ac:dyDescent="0.15">
      <c r="A185" s="2">
        <v>45573.423532974542</v>
      </c>
      <c r="B185" s="3" t="s">
        <v>51</v>
      </c>
      <c r="C185" s="3">
        <v>51</v>
      </c>
      <c r="D185" s="3">
        <v>3</v>
      </c>
      <c r="J185" s="3" t="s">
        <v>25</v>
      </c>
      <c r="K185" s="3" t="s">
        <v>66</v>
      </c>
      <c r="M185" s="3">
        <v>5</v>
      </c>
      <c r="N185" s="3">
        <v>6</v>
      </c>
      <c r="S185" s="3">
        <v>2</v>
      </c>
      <c r="T185" s="3" t="s">
        <v>67</v>
      </c>
      <c r="U185" s="3"/>
      <c r="V185" s="3"/>
      <c r="W185" s="3"/>
    </row>
    <row r="186" spans="1:23" ht="13" x14ac:dyDescent="0.15">
      <c r="A186" s="2">
        <v>45573.452134328705</v>
      </c>
      <c r="B186" s="3" t="s">
        <v>91</v>
      </c>
      <c r="D186" s="3">
        <v>1</v>
      </c>
      <c r="I186" s="3" t="s">
        <v>82</v>
      </c>
      <c r="J186" s="3" t="s">
        <v>65</v>
      </c>
      <c r="K186" s="3" t="s">
        <v>159</v>
      </c>
      <c r="T186" s="3" t="s">
        <v>33</v>
      </c>
      <c r="U186" s="3"/>
      <c r="V186" s="3"/>
      <c r="W186" s="3"/>
    </row>
    <row r="187" spans="1:23" ht="13" x14ac:dyDescent="0.15">
      <c r="A187" s="2">
        <v>45573.526061736113</v>
      </c>
      <c r="B187" s="3" t="s">
        <v>79</v>
      </c>
      <c r="G187" s="3">
        <v>6</v>
      </c>
      <c r="H187" s="3">
        <v>1</v>
      </c>
      <c r="L187" s="3" t="s">
        <v>156</v>
      </c>
      <c r="T187" s="3" t="s">
        <v>52</v>
      </c>
      <c r="U187" s="3"/>
      <c r="V187" s="3"/>
      <c r="W187" s="3"/>
    </row>
    <row r="188" spans="1:23" ht="13" x14ac:dyDescent="0.15">
      <c r="A188" s="2">
        <v>45573.609735798615</v>
      </c>
      <c r="B188" s="3" t="s">
        <v>51</v>
      </c>
      <c r="O188" s="3">
        <v>-14913</v>
      </c>
      <c r="T188" s="3" t="s">
        <v>33</v>
      </c>
      <c r="U188" s="3"/>
      <c r="V188" s="3"/>
      <c r="W188" s="3"/>
    </row>
    <row r="189" spans="1:23" ht="13" x14ac:dyDescent="0.15">
      <c r="A189" s="2">
        <v>45580.510950312499</v>
      </c>
      <c r="B189" s="3" t="s">
        <v>149</v>
      </c>
      <c r="G189" s="3">
        <v>12</v>
      </c>
      <c r="H189" s="3">
        <v>2</v>
      </c>
      <c r="L189" s="3" t="s">
        <v>187</v>
      </c>
      <c r="Q189" s="3" t="s">
        <v>188</v>
      </c>
      <c r="T189" s="3" t="s">
        <v>45</v>
      </c>
      <c r="U189" s="3"/>
      <c r="V189" s="3"/>
      <c r="W189" s="3"/>
    </row>
    <row r="190" spans="1:23" ht="13" x14ac:dyDescent="0.15">
      <c r="A190" s="2">
        <v>45580.515895925928</v>
      </c>
      <c r="B190" s="3" t="s">
        <v>91</v>
      </c>
      <c r="F190" s="3">
        <v>1370</v>
      </c>
      <c r="G190" s="3">
        <v>8</v>
      </c>
      <c r="P190" s="3" t="s">
        <v>92</v>
      </c>
      <c r="Q190" s="3" t="s">
        <v>93</v>
      </c>
      <c r="R190" s="3" t="s">
        <v>189</v>
      </c>
      <c r="T190" s="3" t="s">
        <v>33</v>
      </c>
      <c r="U190" s="3"/>
      <c r="V190" s="3"/>
      <c r="W190" s="3"/>
    </row>
    <row r="191" spans="1:23" ht="13" x14ac:dyDescent="0.15">
      <c r="A191" s="2">
        <v>45580.519961527782</v>
      </c>
      <c r="B191" s="3" t="s">
        <v>91</v>
      </c>
      <c r="D191" s="3">
        <v>2</v>
      </c>
      <c r="I191" s="3" t="s">
        <v>102</v>
      </c>
      <c r="K191" s="3" t="s">
        <v>101</v>
      </c>
      <c r="Q191" s="3" t="s">
        <v>106</v>
      </c>
      <c r="T191" s="3" t="s">
        <v>33</v>
      </c>
      <c r="U191" s="3"/>
      <c r="V191" s="3"/>
      <c r="W191" s="3"/>
    </row>
    <row r="192" spans="1:23" ht="13" x14ac:dyDescent="0.15">
      <c r="A192" s="2">
        <v>45580.523095324075</v>
      </c>
      <c r="B192" s="3" t="s">
        <v>91</v>
      </c>
      <c r="D192" s="3">
        <v>2</v>
      </c>
      <c r="I192" s="3" t="s">
        <v>82</v>
      </c>
      <c r="J192" s="3" t="s">
        <v>25</v>
      </c>
      <c r="K192" s="3" t="s">
        <v>164</v>
      </c>
      <c r="Q192" s="3" t="s">
        <v>110</v>
      </c>
      <c r="T192" s="3" t="s">
        <v>33</v>
      </c>
      <c r="U192" s="3"/>
      <c r="V192" s="3"/>
      <c r="W192" s="3"/>
    </row>
    <row r="193" spans="1:23" ht="13" x14ac:dyDescent="0.15">
      <c r="A193" s="2">
        <v>45580.52376689815</v>
      </c>
      <c r="B193" s="3" t="s">
        <v>91</v>
      </c>
      <c r="D193" s="3">
        <v>5</v>
      </c>
      <c r="I193" s="3" t="s">
        <v>82</v>
      </c>
      <c r="J193" s="3" t="s">
        <v>25</v>
      </c>
      <c r="K193" s="3" t="s">
        <v>100</v>
      </c>
      <c r="Q193" s="3" t="s">
        <v>110</v>
      </c>
      <c r="T193" s="3" t="s">
        <v>33</v>
      </c>
      <c r="U193" s="3"/>
      <c r="V193" s="3"/>
      <c r="W193" s="3"/>
    </row>
    <row r="194" spans="1:23" ht="13" x14ac:dyDescent="0.15">
      <c r="A194" s="2">
        <v>45580.524706793978</v>
      </c>
      <c r="B194" s="3" t="s">
        <v>91</v>
      </c>
      <c r="D194" s="3">
        <v>4</v>
      </c>
      <c r="I194" s="3" t="s">
        <v>24</v>
      </c>
      <c r="J194" s="3" t="s">
        <v>77</v>
      </c>
      <c r="K194" s="3" t="s">
        <v>100</v>
      </c>
      <c r="T194" s="3" t="s">
        <v>33</v>
      </c>
      <c r="U194" s="3"/>
      <c r="V194" s="3"/>
      <c r="W194" s="3"/>
    </row>
    <row r="195" spans="1:23" ht="13" x14ac:dyDescent="0.15">
      <c r="A195" s="2">
        <v>45580.525956793979</v>
      </c>
      <c r="B195" s="3" t="s">
        <v>91</v>
      </c>
      <c r="D195" s="3">
        <v>1</v>
      </c>
      <c r="I195" s="3" t="s">
        <v>82</v>
      </c>
      <c r="J195" s="3" t="s">
        <v>65</v>
      </c>
      <c r="K195" s="3" t="s">
        <v>159</v>
      </c>
      <c r="T195" s="3" t="s">
        <v>33</v>
      </c>
      <c r="U195" s="3"/>
      <c r="V195" s="3"/>
      <c r="W195" s="3"/>
    </row>
    <row r="196" spans="1:23" ht="13" x14ac:dyDescent="0.15">
      <c r="A196" s="2">
        <v>45580.52711038194</v>
      </c>
      <c r="B196" s="3" t="s">
        <v>91</v>
      </c>
      <c r="D196" s="3">
        <v>1</v>
      </c>
      <c r="I196" s="3" t="s">
        <v>102</v>
      </c>
      <c r="J196" s="3" t="s">
        <v>25</v>
      </c>
      <c r="K196" s="3" t="s">
        <v>100</v>
      </c>
      <c r="T196" s="3" t="s">
        <v>33</v>
      </c>
      <c r="U196" s="3"/>
      <c r="V196" s="3"/>
      <c r="W196" s="3"/>
    </row>
    <row r="197" spans="1:23" ht="13" x14ac:dyDescent="0.15">
      <c r="A197" s="2">
        <v>45580.529737708333</v>
      </c>
      <c r="B197" s="3" t="s">
        <v>91</v>
      </c>
      <c r="D197" s="3">
        <v>8</v>
      </c>
      <c r="I197" s="3" t="s">
        <v>84</v>
      </c>
      <c r="J197" s="3" t="s">
        <v>77</v>
      </c>
      <c r="K197" s="3" t="s">
        <v>37</v>
      </c>
      <c r="T197" s="3" t="s">
        <v>33</v>
      </c>
      <c r="U197" s="3"/>
      <c r="V197" s="3"/>
      <c r="W197" s="3"/>
    </row>
    <row r="198" spans="1:23" ht="13" x14ac:dyDescent="0.15">
      <c r="A198" s="2">
        <v>45580.53108778935</v>
      </c>
      <c r="B198" s="3" t="s">
        <v>91</v>
      </c>
      <c r="D198" s="3">
        <v>1</v>
      </c>
      <c r="I198" s="3" t="s">
        <v>84</v>
      </c>
      <c r="J198" s="3" t="s">
        <v>25</v>
      </c>
      <c r="K198" s="3" t="s">
        <v>97</v>
      </c>
      <c r="T198" s="3" t="s">
        <v>33</v>
      </c>
      <c r="U198" s="3"/>
      <c r="V198" s="3"/>
      <c r="W198" s="3"/>
    </row>
    <row r="199" spans="1:23" ht="13" x14ac:dyDescent="0.15">
      <c r="A199" s="2">
        <v>45580.531925798612</v>
      </c>
      <c r="B199" s="3" t="s">
        <v>91</v>
      </c>
      <c r="D199" s="3">
        <v>3</v>
      </c>
      <c r="I199" s="3" t="s">
        <v>76</v>
      </c>
      <c r="J199" s="3" t="s">
        <v>70</v>
      </c>
      <c r="K199" s="3" t="s">
        <v>97</v>
      </c>
      <c r="T199" s="3" t="s">
        <v>33</v>
      </c>
      <c r="U199" s="3"/>
      <c r="V199" s="3"/>
      <c r="W199" s="3"/>
    </row>
    <row r="200" spans="1:23" ht="13" x14ac:dyDescent="0.15">
      <c r="A200" s="2">
        <v>45580.896687534725</v>
      </c>
      <c r="B200" s="3" t="s">
        <v>135</v>
      </c>
      <c r="D200" s="3">
        <v>8</v>
      </c>
      <c r="I200" s="3" t="s">
        <v>76</v>
      </c>
      <c r="J200" s="3" t="s">
        <v>25</v>
      </c>
      <c r="K200" s="3" t="s">
        <v>138</v>
      </c>
      <c r="T200" s="3" t="s">
        <v>61</v>
      </c>
      <c r="U200" s="3"/>
      <c r="V200" s="3"/>
      <c r="W200" s="3"/>
    </row>
    <row r="201" spans="1:23" ht="13" x14ac:dyDescent="0.15">
      <c r="A201" s="2">
        <v>45580.897154004633</v>
      </c>
      <c r="B201" s="3" t="s">
        <v>135</v>
      </c>
      <c r="D201" s="3">
        <v>4</v>
      </c>
      <c r="I201" s="3" t="s">
        <v>76</v>
      </c>
      <c r="J201" s="3" t="s">
        <v>103</v>
      </c>
      <c r="K201" s="3" t="s">
        <v>138</v>
      </c>
      <c r="T201" s="3" t="s">
        <v>61</v>
      </c>
      <c r="U201" s="3"/>
      <c r="V201" s="3"/>
      <c r="W201" s="3"/>
    </row>
    <row r="202" spans="1:23" ht="13" x14ac:dyDescent="0.15">
      <c r="A202" s="2">
        <v>45580.898892337966</v>
      </c>
      <c r="B202" s="3" t="s">
        <v>135</v>
      </c>
      <c r="G202" s="3">
        <v>29.5</v>
      </c>
      <c r="H202" s="3">
        <v>4</v>
      </c>
      <c r="T202" s="3" t="s">
        <v>61</v>
      </c>
      <c r="U202" s="3"/>
      <c r="V202" s="3"/>
      <c r="W202" s="3"/>
    </row>
    <row r="203" spans="1:23" ht="13" x14ac:dyDescent="0.15">
      <c r="A203" s="2">
        <v>45583.421566944446</v>
      </c>
      <c r="B203" s="3" t="s">
        <v>69</v>
      </c>
      <c r="H203" s="3">
        <v>45</v>
      </c>
      <c r="T203" s="3" t="s">
        <v>54</v>
      </c>
      <c r="U203" s="3"/>
      <c r="V203" s="3"/>
      <c r="W203" s="3"/>
    </row>
    <row r="204" spans="1:23" ht="13" x14ac:dyDescent="0.15">
      <c r="A204" s="2">
        <v>45583.424103923608</v>
      </c>
      <c r="B204" s="3" t="s">
        <v>69</v>
      </c>
      <c r="D204" s="3">
        <v>20</v>
      </c>
      <c r="J204" s="3" t="s">
        <v>77</v>
      </c>
      <c r="K204" s="3" t="s">
        <v>40</v>
      </c>
      <c r="T204" s="3" t="s">
        <v>54</v>
      </c>
      <c r="U204" s="3"/>
      <c r="V204" s="3"/>
      <c r="W204" s="3"/>
    </row>
    <row r="205" spans="1:23" ht="13" x14ac:dyDescent="0.15">
      <c r="A205" s="2">
        <v>45583.424996168978</v>
      </c>
      <c r="B205" s="3" t="s">
        <v>69</v>
      </c>
      <c r="R205" s="3" t="s">
        <v>89</v>
      </c>
      <c r="S205" s="3">
        <v>2</v>
      </c>
      <c r="T205" s="3" t="s">
        <v>54</v>
      </c>
      <c r="U205" s="3"/>
      <c r="V205" s="3"/>
      <c r="W205" s="3"/>
    </row>
    <row r="206" spans="1:23" ht="13" x14ac:dyDescent="0.15">
      <c r="A206" s="2">
        <v>45583.425435138888</v>
      </c>
      <c r="B206" s="3" t="s">
        <v>69</v>
      </c>
      <c r="G206" s="3">
        <v>3</v>
      </c>
      <c r="R206" s="3" t="s">
        <v>190</v>
      </c>
      <c r="T206" s="3" t="s">
        <v>54</v>
      </c>
      <c r="U206" s="3"/>
      <c r="V206" s="3"/>
      <c r="W206" s="3"/>
    </row>
    <row r="207" spans="1:23" ht="13" x14ac:dyDescent="0.15">
      <c r="A207" s="2">
        <v>45583.426223252318</v>
      </c>
      <c r="B207" s="3" t="s">
        <v>69</v>
      </c>
      <c r="I207" s="3" t="s">
        <v>76</v>
      </c>
      <c r="J207" s="3" t="s">
        <v>25</v>
      </c>
      <c r="K207" s="3" t="s">
        <v>78</v>
      </c>
      <c r="S207" s="3">
        <v>1</v>
      </c>
      <c r="T207" s="3" t="s">
        <v>54</v>
      </c>
      <c r="U207" s="3"/>
      <c r="V207" s="3"/>
      <c r="W207" s="3"/>
    </row>
    <row r="208" spans="1:23" ht="13" x14ac:dyDescent="0.15">
      <c r="A208" s="2">
        <v>45586.429799467587</v>
      </c>
      <c r="B208" s="3" t="s">
        <v>149</v>
      </c>
      <c r="D208" s="3">
        <v>2</v>
      </c>
      <c r="G208" s="3">
        <v>22</v>
      </c>
      <c r="H208" s="3">
        <v>4</v>
      </c>
      <c r="I208" s="3" t="s">
        <v>102</v>
      </c>
      <c r="J208" s="3" t="s">
        <v>70</v>
      </c>
      <c r="K208" s="3" t="s">
        <v>152</v>
      </c>
      <c r="L208" s="3" t="s">
        <v>191</v>
      </c>
      <c r="P208" s="3" t="s">
        <v>28</v>
      </c>
      <c r="R208" s="3" t="s">
        <v>192</v>
      </c>
      <c r="T208" s="3" t="s">
        <v>45</v>
      </c>
      <c r="U208" s="3"/>
      <c r="V208" s="3"/>
      <c r="W208" s="3"/>
    </row>
    <row r="209" spans="1:23" ht="13" x14ac:dyDescent="0.15">
      <c r="A209" s="2">
        <v>45586.540368425922</v>
      </c>
      <c r="B209" s="3" t="s">
        <v>47</v>
      </c>
      <c r="D209" s="3">
        <v>15</v>
      </c>
      <c r="F209" s="3">
        <v>934</v>
      </c>
      <c r="G209" s="3">
        <v>5</v>
      </c>
      <c r="H209" s="3">
        <v>60</v>
      </c>
      <c r="S209" s="3">
        <v>2</v>
      </c>
      <c r="T209" s="3" t="s">
        <v>50</v>
      </c>
      <c r="U209" s="3"/>
      <c r="V209" s="3"/>
      <c r="W209" s="3"/>
    </row>
    <row r="210" spans="1:23" ht="13" x14ac:dyDescent="0.15">
      <c r="A210" s="2">
        <v>45586.595095833334</v>
      </c>
      <c r="B210" s="3" t="s">
        <v>47</v>
      </c>
      <c r="M210" s="3">
        <v>65</v>
      </c>
      <c r="T210" s="3" t="s">
        <v>50</v>
      </c>
      <c r="U210" s="3"/>
      <c r="V210" s="3"/>
      <c r="W210" s="3"/>
    </row>
    <row r="211" spans="1:23" ht="13" x14ac:dyDescent="0.15">
      <c r="A211" s="2">
        <v>45587.350690196763</v>
      </c>
      <c r="B211" s="3" t="s">
        <v>131</v>
      </c>
      <c r="D211" s="3">
        <v>28</v>
      </c>
      <c r="G211" s="3">
        <v>70.5</v>
      </c>
      <c r="H211" s="3">
        <v>20</v>
      </c>
      <c r="R211" s="3" t="s">
        <v>193</v>
      </c>
      <c r="S211" s="3">
        <v>2</v>
      </c>
      <c r="T211" s="3" t="s">
        <v>62</v>
      </c>
      <c r="U211" s="3"/>
      <c r="V211" s="3"/>
      <c r="W211" s="3"/>
    </row>
    <row r="212" spans="1:23" ht="13" x14ac:dyDescent="0.15">
      <c r="A212" s="2">
        <v>45587.351135821758</v>
      </c>
      <c r="B212" s="3" t="s">
        <v>131</v>
      </c>
      <c r="I212" s="3" t="s">
        <v>35</v>
      </c>
      <c r="J212" s="3" t="s">
        <v>77</v>
      </c>
      <c r="K212" s="3" t="s">
        <v>146</v>
      </c>
      <c r="T212" s="3" t="s">
        <v>62</v>
      </c>
      <c r="U212" s="3"/>
      <c r="V212" s="3"/>
      <c r="W212" s="3"/>
    </row>
    <row r="213" spans="1:23" ht="13" x14ac:dyDescent="0.15">
      <c r="A213" s="2">
        <v>45587.351499780096</v>
      </c>
      <c r="B213" s="3" t="s">
        <v>131</v>
      </c>
      <c r="I213" s="3" t="s">
        <v>82</v>
      </c>
      <c r="J213" s="3" t="s">
        <v>25</v>
      </c>
      <c r="K213" s="3" t="s">
        <v>151</v>
      </c>
      <c r="T213" s="3" t="s">
        <v>62</v>
      </c>
      <c r="U213" s="3"/>
      <c r="V213" s="3"/>
      <c r="W213" s="3"/>
    </row>
    <row r="214" spans="1:23" ht="13" x14ac:dyDescent="0.15">
      <c r="A214" s="2">
        <v>45587.351811030094</v>
      </c>
      <c r="B214" s="3" t="s">
        <v>131</v>
      </c>
      <c r="I214" s="3" t="s">
        <v>82</v>
      </c>
      <c r="J214" s="3" t="s">
        <v>25</v>
      </c>
      <c r="K214" s="3" t="s">
        <v>142</v>
      </c>
      <c r="T214" s="3" t="s">
        <v>62</v>
      </c>
      <c r="U214" s="3"/>
      <c r="V214" s="3"/>
      <c r="W214" s="3"/>
    </row>
    <row r="215" spans="1:23" ht="13" x14ac:dyDescent="0.15">
      <c r="A215" s="2">
        <v>45587.486853761569</v>
      </c>
      <c r="B215" s="3" t="s">
        <v>121</v>
      </c>
      <c r="D215" s="3">
        <v>11</v>
      </c>
      <c r="H215" s="3">
        <v>30</v>
      </c>
      <c r="T215" s="3" t="s">
        <v>44</v>
      </c>
      <c r="U215" s="3"/>
      <c r="V215" s="3"/>
      <c r="W215" s="3"/>
    </row>
    <row r="216" spans="1:23" ht="13" x14ac:dyDescent="0.15">
      <c r="A216" s="2">
        <v>45589.444840115742</v>
      </c>
      <c r="B216" s="3" t="s">
        <v>69</v>
      </c>
      <c r="D216" s="3">
        <v>24</v>
      </c>
      <c r="G216" s="3">
        <v>6</v>
      </c>
      <c r="H216" s="3">
        <v>5</v>
      </c>
      <c r="I216" s="3" t="s">
        <v>35</v>
      </c>
      <c r="J216" s="3" t="s">
        <v>77</v>
      </c>
      <c r="K216" s="3" t="s">
        <v>40</v>
      </c>
      <c r="R216" s="3" t="s">
        <v>88</v>
      </c>
      <c r="S216" s="3">
        <v>2</v>
      </c>
      <c r="T216" s="3" t="s">
        <v>54</v>
      </c>
      <c r="U216" s="3"/>
      <c r="V216" s="3"/>
      <c r="W216" s="3"/>
    </row>
    <row r="217" spans="1:23" ht="13" x14ac:dyDescent="0.15">
      <c r="A217" s="2">
        <v>45589.445213657411</v>
      </c>
      <c r="B217" s="3" t="s">
        <v>69</v>
      </c>
      <c r="I217" s="3" t="s">
        <v>76</v>
      </c>
      <c r="J217" s="3" t="s">
        <v>25</v>
      </c>
      <c r="K217" s="3" t="s">
        <v>78</v>
      </c>
      <c r="R217" s="3" t="s">
        <v>88</v>
      </c>
      <c r="T217" s="3" t="s">
        <v>54</v>
      </c>
      <c r="U217" s="3"/>
      <c r="V217" s="3"/>
      <c r="W217" s="3"/>
    </row>
    <row r="218" spans="1:23" ht="13" x14ac:dyDescent="0.15">
      <c r="A218" s="2">
        <v>45593.290047048613</v>
      </c>
      <c r="B218" s="3" t="s">
        <v>141</v>
      </c>
      <c r="D218" s="3">
        <v>12</v>
      </c>
      <c r="G218" s="3">
        <v>25</v>
      </c>
      <c r="H218" s="3">
        <v>2</v>
      </c>
      <c r="J218" s="3" t="s">
        <v>25</v>
      </c>
      <c r="K218" s="3" t="s">
        <v>138</v>
      </c>
      <c r="L218" s="3" t="s">
        <v>125</v>
      </c>
      <c r="P218" s="3" t="s">
        <v>49</v>
      </c>
      <c r="Q218" s="3" t="s">
        <v>194</v>
      </c>
      <c r="R218" s="3" t="s">
        <v>195</v>
      </c>
      <c r="T218" s="3" t="s">
        <v>59</v>
      </c>
      <c r="U218" s="3"/>
      <c r="V218" s="3"/>
      <c r="W218" s="3"/>
    </row>
    <row r="219" spans="1:23" ht="13" x14ac:dyDescent="0.15">
      <c r="A219" s="2">
        <v>45593.461738483791</v>
      </c>
      <c r="B219" s="3" t="s">
        <v>91</v>
      </c>
      <c r="D219" s="3">
        <v>12</v>
      </c>
      <c r="I219" s="3" t="s">
        <v>24</v>
      </c>
      <c r="J219" s="3" t="s">
        <v>25</v>
      </c>
      <c r="K219" s="3" t="s">
        <v>164</v>
      </c>
      <c r="M219" s="3">
        <v>125</v>
      </c>
      <c r="T219" s="3" t="s">
        <v>33</v>
      </c>
      <c r="U219" s="3"/>
      <c r="V219" s="3"/>
      <c r="W219" s="3"/>
    </row>
    <row r="220" spans="1:23" ht="13" x14ac:dyDescent="0.15">
      <c r="A220" s="2">
        <v>45593.462034467593</v>
      </c>
      <c r="B220" s="3" t="s">
        <v>91</v>
      </c>
      <c r="D220" s="3">
        <v>3</v>
      </c>
      <c r="I220" s="3" t="s">
        <v>24</v>
      </c>
      <c r="J220" s="3" t="s">
        <v>25</v>
      </c>
      <c r="K220" s="3" t="s">
        <v>164</v>
      </c>
      <c r="T220" s="3" t="s">
        <v>33</v>
      </c>
      <c r="U220" s="3"/>
      <c r="V220" s="3"/>
      <c r="W220" s="3"/>
    </row>
    <row r="221" spans="1:23" ht="13" x14ac:dyDescent="0.15">
      <c r="A221" s="2">
        <v>45593.462340486112</v>
      </c>
      <c r="B221" s="3" t="s">
        <v>91</v>
      </c>
      <c r="D221" s="3">
        <v>8</v>
      </c>
      <c r="I221" s="3" t="s">
        <v>76</v>
      </c>
      <c r="J221" s="3" t="s">
        <v>103</v>
      </c>
      <c r="K221" s="3" t="s">
        <v>97</v>
      </c>
      <c r="T221" s="3" t="s">
        <v>33</v>
      </c>
      <c r="U221" s="3"/>
      <c r="V221" s="3"/>
      <c r="W221" s="3"/>
    </row>
    <row r="222" spans="1:23" ht="13" x14ac:dyDescent="0.15">
      <c r="A222" s="2">
        <v>45593.462794166669</v>
      </c>
      <c r="B222" s="3" t="s">
        <v>91</v>
      </c>
      <c r="D222" s="3">
        <v>8</v>
      </c>
      <c r="I222" s="3" t="s">
        <v>35</v>
      </c>
      <c r="J222" s="3" t="s">
        <v>25</v>
      </c>
      <c r="K222" s="3" t="s">
        <v>97</v>
      </c>
      <c r="T222" s="3" t="s">
        <v>33</v>
      </c>
      <c r="U222" s="3"/>
      <c r="V222" s="3"/>
      <c r="W222" s="3"/>
    </row>
    <row r="223" spans="1:23" ht="13" x14ac:dyDescent="0.15">
      <c r="A223" s="2">
        <v>45593.464801817128</v>
      </c>
      <c r="B223" s="3" t="s">
        <v>91</v>
      </c>
      <c r="D223" s="3">
        <v>6</v>
      </c>
      <c r="I223" s="3" t="s">
        <v>35</v>
      </c>
      <c r="J223" s="3" t="s">
        <v>103</v>
      </c>
      <c r="K223" s="3" t="s">
        <v>97</v>
      </c>
      <c r="P223" s="3" t="s">
        <v>86</v>
      </c>
      <c r="R223" s="3" t="s">
        <v>115</v>
      </c>
      <c r="T223" s="3" t="s">
        <v>33</v>
      </c>
      <c r="U223" s="3"/>
      <c r="V223" s="3"/>
      <c r="W223" s="3"/>
    </row>
    <row r="224" spans="1:23" ht="13" x14ac:dyDescent="0.15">
      <c r="A224" s="2">
        <v>45593.465448796298</v>
      </c>
      <c r="B224" s="3" t="s">
        <v>91</v>
      </c>
      <c r="D224" s="3">
        <v>2</v>
      </c>
      <c r="I224" s="3" t="s">
        <v>84</v>
      </c>
      <c r="J224" s="3" t="s">
        <v>104</v>
      </c>
      <c r="K224" s="3" t="s">
        <v>101</v>
      </c>
      <c r="P224" s="3" t="s">
        <v>196</v>
      </c>
      <c r="R224" s="3" t="s">
        <v>197</v>
      </c>
      <c r="T224" s="3" t="s">
        <v>33</v>
      </c>
      <c r="U224" s="3"/>
      <c r="V224" s="3"/>
      <c r="W224" s="3"/>
    </row>
    <row r="225" spans="1:23" ht="13" x14ac:dyDescent="0.15">
      <c r="A225" s="2">
        <v>45593.465963599534</v>
      </c>
      <c r="B225" s="3" t="s">
        <v>91</v>
      </c>
      <c r="D225" s="3">
        <v>2</v>
      </c>
      <c r="I225" s="3" t="s">
        <v>24</v>
      </c>
      <c r="J225" s="3" t="s">
        <v>65</v>
      </c>
      <c r="K225" s="3" t="s">
        <v>37</v>
      </c>
      <c r="T225" s="3" t="s">
        <v>33</v>
      </c>
      <c r="U225" s="3"/>
      <c r="V225" s="3"/>
      <c r="W225" s="3"/>
    </row>
    <row r="226" spans="1:23" ht="13" x14ac:dyDescent="0.15">
      <c r="A226" s="2">
        <v>45593.469407523153</v>
      </c>
      <c r="B226" s="3" t="s">
        <v>91</v>
      </c>
      <c r="D226" s="3">
        <v>16</v>
      </c>
      <c r="I226" s="3" t="s">
        <v>84</v>
      </c>
      <c r="J226" s="3" t="s">
        <v>77</v>
      </c>
      <c r="K226" s="3" t="s">
        <v>37</v>
      </c>
      <c r="T226" s="3" t="s">
        <v>33</v>
      </c>
      <c r="U226" s="3"/>
      <c r="V226" s="3"/>
      <c r="W226" s="3"/>
    </row>
    <row r="227" spans="1:23" ht="13" x14ac:dyDescent="0.15">
      <c r="A227" s="2">
        <v>45593.879940937499</v>
      </c>
      <c r="B227" s="3" t="s">
        <v>118</v>
      </c>
      <c r="F227" s="6">
        <v>-1055.81</v>
      </c>
      <c r="T227" s="3" t="s">
        <v>60</v>
      </c>
      <c r="U227" s="3"/>
      <c r="V227" s="3"/>
      <c r="W227" s="3"/>
    </row>
    <row r="228" spans="1:23" ht="13" x14ac:dyDescent="0.15">
      <c r="A228" s="2">
        <v>45593.893785879627</v>
      </c>
      <c r="B228" s="3" t="s">
        <v>118</v>
      </c>
      <c r="G228" s="3">
        <v>5</v>
      </c>
      <c r="H228" s="3">
        <v>5</v>
      </c>
      <c r="I228" s="3" t="s">
        <v>24</v>
      </c>
      <c r="J228" s="3" t="s">
        <v>103</v>
      </c>
      <c r="K228" s="3" t="s">
        <v>138</v>
      </c>
      <c r="P228" s="3" t="s">
        <v>198</v>
      </c>
      <c r="R228" s="3" t="s">
        <v>199</v>
      </c>
      <c r="T228" s="3" t="s">
        <v>60</v>
      </c>
      <c r="U228" s="3"/>
      <c r="V228" s="3"/>
      <c r="W228" s="3"/>
    </row>
    <row r="229" spans="1:23" ht="13" x14ac:dyDescent="0.15">
      <c r="A229" s="2">
        <v>45593.894978622688</v>
      </c>
      <c r="B229" s="3" t="s">
        <v>118</v>
      </c>
      <c r="I229" s="3" t="s">
        <v>24</v>
      </c>
      <c r="J229" s="3" t="s">
        <v>103</v>
      </c>
      <c r="K229" s="3" t="s">
        <v>142</v>
      </c>
      <c r="T229" s="3" t="s">
        <v>60</v>
      </c>
      <c r="U229" s="3"/>
      <c r="V229" s="3"/>
      <c r="W229" s="3"/>
    </row>
    <row r="230" spans="1:23" ht="13" x14ac:dyDescent="0.15">
      <c r="A230" s="2">
        <v>45593.895691157406</v>
      </c>
      <c r="B230" s="3" t="s">
        <v>118</v>
      </c>
      <c r="I230" s="3" t="s">
        <v>76</v>
      </c>
      <c r="J230" s="3" t="s">
        <v>103</v>
      </c>
      <c r="K230" s="3" t="s">
        <v>146</v>
      </c>
      <c r="T230" s="3" t="s">
        <v>60</v>
      </c>
      <c r="U230" s="3"/>
      <c r="V230" s="3"/>
      <c r="W230" s="3"/>
    </row>
    <row r="231" spans="1:23" ht="13" x14ac:dyDescent="0.15">
      <c r="A231" s="2">
        <v>45593.896000937501</v>
      </c>
      <c r="B231" s="3" t="s">
        <v>118</v>
      </c>
      <c r="I231" s="3" t="s">
        <v>24</v>
      </c>
      <c r="J231" s="3" t="s">
        <v>103</v>
      </c>
      <c r="K231" s="3" t="s">
        <v>146</v>
      </c>
      <c r="T231" s="3" t="s">
        <v>60</v>
      </c>
      <c r="U231" s="3"/>
      <c r="V231" s="3"/>
      <c r="W231" s="3"/>
    </row>
    <row r="232" spans="1:23" ht="13" x14ac:dyDescent="0.15">
      <c r="A232" s="2">
        <v>45593.897151701385</v>
      </c>
      <c r="B232" s="3" t="s">
        <v>118</v>
      </c>
      <c r="I232" s="3" t="s">
        <v>102</v>
      </c>
      <c r="J232" s="3" t="s">
        <v>25</v>
      </c>
      <c r="K232" s="3" t="s">
        <v>151</v>
      </c>
      <c r="T232" s="3" t="s">
        <v>60</v>
      </c>
      <c r="U232" s="3"/>
      <c r="V232" s="3"/>
      <c r="W232" s="3"/>
    </row>
    <row r="233" spans="1:23" ht="13" x14ac:dyDescent="0.15">
      <c r="A233" s="2">
        <v>45593.89805787037</v>
      </c>
      <c r="B233" s="3" t="s">
        <v>118</v>
      </c>
      <c r="I233" s="3" t="s">
        <v>35</v>
      </c>
      <c r="J233" s="3" t="s">
        <v>103</v>
      </c>
      <c r="K233" s="3" t="s">
        <v>138</v>
      </c>
      <c r="T233" s="3" t="s">
        <v>60</v>
      </c>
      <c r="U233" s="3"/>
      <c r="V233" s="3"/>
      <c r="W233" s="3"/>
    </row>
    <row r="234" spans="1:23" ht="13" x14ac:dyDescent="0.15">
      <c r="A234" s="2">
        <v>45593.898330254626</v>
      </c>
      <c r="B234" s="3" t="s">
        <v>118</v>
      </c>
      <c r="I234" s="3" t="s">
        <v>35</v>
      </c>
      <c r="J234" s="3" t="s">
        <v>103</v>
      </c>
      <c r="K234" s="3" t="s">
        <v>140</v>
      </c>
      <c r="T234" s="3" t="s">
        <v>60</v>
      </c>
      <c r="U234" s="3"/>
      <c r="V234" s="3"/>
      <c r="W234" s="3"/>
    </row>
    <row r="235" spans="1:23" ht="13" x14ac:dyDescent="0.15">
      <c r="A235" s="2">
        <v>45593.898645879628</v>
      </c>
      <c r="B235" s="3" t="s">
        <v>118</v>
      </c>
      <c r="I235" s="3" t="s">
        <v>35</v>
      </c>
      <c r="J235" s="3" t="s">
        <v>103</v>
      </c>
      <c r="K235" s="3" t="s">
        <v>26</v>
      </c>
      <c r="T235" s="3" t="s">
        <v>60</v>
      </c>
      <c r="U235" s="3"/>
      <c r="V235" s="3"/>
      <c r="W235" s="3"/>
    </row>
    <row r="236" spans="1:23" ht="13" x14ac:dyDescent="0.15">
      <c r="A236" s="2">
        <v>45593.90288814815</v>
      </c>
      <c r="B236" s="3" t="s">
        <v>118</v>
      </c>
      <c r="F236" s="8">
        <v>1054</v>
      </c>
      <c r="I236" s="3" t="s">
        <v>35</v>
      </c>
      <c r="J236" s="3" t="s">
        <v>70</v>
      </c>
      <c r="K236" s="3" t="s">
        <v>26</v>
      </c>
      <c r="T236" s="3" t="s">
        <v>60</v>
      </c>
      <c r="U236" s="3"/>
      <c r="V236" s="3"/>
      <c r="W236" s="3"/>
    </row>
    <row r="237" spans="1:23" ht="13" x14ac:dyDescent="0.15">
      <c r="A237" s="2">
        <v>45593.903127013888</v>
      </c>
      <c r="B237" s="3" t="s">
        <v>118</v>
      </c>
      <c r="I237" s="3" t="s">
        <v>35</v>
      </c>
      <c r="J237" s="3" t="s">
        <v>70</v>
      </c>
      <c r="K237" s="3" t="s">
        <v>140</v>
      </c>
      <c r="T237" s="3" t="s">
        <v>60</v>
      </c>
      <c r="U237" s="3"/>
      <c r="V237" s="3"/>
      <c r="W237" s="3"/>
    </row>
    <row r="238" spans="1:23" ht="13" x14ac:dyDescent="0.15">
      <c r="A238" s="2">
        <v>45593.919874282408</v>
      </c>
      <c r="B238" s="3" t="s">
        <v>118</v>
      </c>
      <c r="D238" s="3">
        <v>35</v>
      </c>
      <c r="M238" s="3">
        <v>210</v>
      </c>
      <c r="R238" s="3" t="s">
        <v>200</v>
      </c>
      <c r="T238" s="3" t="s">
        <v>60</v>
      </c>
      <c r="U238" s="3"/>
      <c r="V238" s="3"/>
      <c r="W238" s="3"/>
    </row>
    <row r="239" spans="1:23" ht="13" x14ac:dyDescent="0.15">
      <c r="A239" s="2">
        <v>45596.434703217594</v>
      </c>
      <c r="B239" s="3" t="s">
        <v>149</v>
      </c>
      <c r="H239" s="3">
        <v>3</v>
      </c>
      <c r="M239" s="3">
        <v>15</v>
      </c>
      <c r="P239" s="3" t="s">
        <v>28</v>
      </c>
      <c r="R239" s="3" t="s">
        <v>201</v>
      </c>
      <c r="T239" s="3" t="s">
        <v>45</v>
      </c>
      <c r="U239" s="3"/>
      <c r="V239" s="3"/>
      <c r="W239" s="3"/>
    </row>
    <row r="240" spans="1:23" ht="13" x14ac:dyDescent="0.15">
      <c r="A240" s="2">
        <v>45596.45390310185</v>
      </c>
      <c r="B240" s="3" t="s">
        <v>149</v>
      </c>
      <c r="F240" s="3">
        <v>601</v>
      </c>
      <c r="T240" s="3" t="s">
        <v>45</v>
      </c>
      <c r="U240" s="3"/>
      <c r="V240" s="3"/>
      <c r="W240" s="3"/>
    </row>
    <row r="241" spans="1:23" ht="13" x14ac:dyDescent="0.15">
      <c r="A241" s="2">
        <v>45597.342153287042</v>
      </c>
      <c r="B241" s="3" t="s">
        <v>34</v>
      </c>
      <c r="D241" s="3">
        <v>17</v>
      </c>
      <c r="I241" s="3" t="s">
        <v>84</v>
      </c>
      <c r="J241" s="3" t="s">
        <v>77</v>
      </c>
      <c r="K241" s="3" t="s">
        <v>78</v>
      </c>
      <c r="L241" s="3" t="s">
        <v>125</v>
      </c>
      <c r="P241" s="3">
        <v>5</v>
      </c>
      <c r="Q241" s="3" t="s">
        <v>202</v>
      </c>
      <c r="R241" s="3" t="s">
        <v>89</v>
      </c>
      <c r="T241" s="3" t="s">
        <v>39</v>
      </c>
      <c r="U241" s="3"/>
      <c r="V241" s="3"/>
      <c r="W241" s="3"/>
    </row>
    <row r="242" spans="1:23" ht="13" x14ac:dyDescent="0.15">
      <c r="A242" s="2">
        <v>45597.343584803239</v>
      </c>
      <c r="B242" s="3" t="s">
        <v>34</v>
      </c>
      <c r="I242" s="3" t="s">
        <v>24</v>
      </c>
      <c r="J242" s="3" t="s">
        <v>25</v>
      </c>
      <c r="K242" s="3" t="s">
        <v>78</v>
      </c>
      <c r="P242" s="3" t="s">
        <v>153</v>
      </c>
      <c r="R242" s="3" t="s">
        <v>73</v>
      </c>
      <c r="T242" s="3" t="s">
        <v>39</v>
      </c>
      <c r="U242" s="3"/>
      <c r="V242" s="3"/>
      <c r="W242" s="3"/>
    </row>
    <row r="243" spans="1:23" ht="13" x14ac:dyDescent="0.15">
      <c r="A243" s="2">
        <v>45597.344398009256</v>
      </c>
      <c r="B243" s="3" t="s">
        <v>34</v>
      </c>
      <c r="I243" s="3" t="s">
        <v>35</v>
      </c>
      <c r="J243" s="3" t="s">
        <v>25</v>
      </c>
      <c r="K243" s="3" t="s">
        <v>78</v>
      </c>
      <c r="L243" s="3" t="s">
        <v>80</v>
      </c>
      <c r="R243" s="3" t="s">
        <v>203</v>
      </c>
      <c r="T243" s="3" t="s">
        <v>39</v>
      </c>
      <c r="U243" s="3"/>
      <c r="V243" s="3"/>
      <c r="W243" s="3"/>
    </row>
    <row r="244" spans="1:23" ht="13" x14ac:dyDescent="0.15">
      <c r="A244" s="2">
        <v>45597.34480413195</v>
      </c>
      <c r="B244" s="3" t="s">
        <v>34</v>
      </c>
      <c r="R244" s="3" t="s">
        <v>73</v>
      </c>
      <c r="T244" s="3" t="s">
        <v>39</v>
      </c>
      <c r="U244" s="3"/>
      <c r="V244" s="3"/>
      <c r="W244" s="3"/>
    </row>
    <row r="245" spans="1:23" ht="13" x14ac:dyDescent="0.15">
      <c r="A245" s="2">
        <v>45597.643718333333</v>
      </c>
      <c r="B245" s="3" t="s">
        <v>91</v>
      </c>
      <c r="D245" s="3">
        <v>2</v>
      </c>
      <c r="I245" s="3" t="s">
        <v>102</v>
      </c>
      <c r="K245" s="3" t="s">
        <v>101</v>
      </c>
      <c r="T245" s="3" t="s">
        <v>33</v>
      </c>
      <c r="U245" s="3"/>
      <c r="V245" s="3"/>
      <c r="W245" s="3"/>
    </row>
    <row r="246" spans="1:23" ht="13" x14ac:dyDescent="0.15">
      <c r="A246" s="2">
        <v>45597.644190902778</v>
      </c>
      <c r="B246" s="3" t="s">
        <v>91</v>
      </c>
      <c r="D246" s="3">
        <v>2</v>
      </c>
      <c r="I246" s="3" t="s">
        <v>102</v>
      </c>
      <c r="J246" s="3" t="s">
        <v>25</v>
      </c>
      <c r="K246" s="3" t="s">
        <v>100</v>
      </c>
      <c r="T246" s="3" t="s">
        <v>33</v>
      </c>
      <c r="U246" s="3"/>
      <c r="V246" s="3"/>
      <c r="W246" s="3"/>
    </row>
    <row r="247" spans="1:23" ht="13" x14ac:dyDescent="0.15">
      <c r="A247" s="2">
        <v>45597.644564525464</v>
      </c>
      <c r="B247" s="3" t="s">
        <v>91</v>
      </c>
      <c r="D247" s="3">
        <v>1</v>
      </c>
      <c r="I247" s="3" t="s">
        <v>84</v>
      </c>
      <c r="J247" s="3" t="s">
        <v>104</v>
      </c>
      <c r="K247" s="3" t="s">
        <v>97</v>
      </c>
      <c r="T247" s="3" t="s">
        <v>33</v>
      </c>
      <c r="U247" s="3"/>
      <c r="V247" s="3"/>
      <c r="W247" s="3"/>
    </row>
    <row r="248" spans="1:23" ht="13" x14ac:dyDescent="0.15">
      <c r="A248" s="2">
        <v>45597.645649675927</v>
      </c>
      <c r="B248" s="3" t="s">
        <v>91</v>
      </c>
      <c r="D248" s="3">
        <v>3</v>
      </c>
      <c r="F248" s="3">
        <v>3000</v>
      </c>
      <c r="G248" s="3">
        <v>8</v>
      </c>
      <c r="I248" s="3" t="s">
        <v>24</v>
      </c>
      <c r="J248" s="3" t="s">
        <v>70</v>
      </c>
      <c r="K248" s="3" t="s">
        <v>97</v>
      </c>
      <c r="M248" s="3">
        <v>43</v>
      </c>
      <c r="Q248" s="3" t="s">
        <v>106</v>
      </c>
      <c r="T248" s="3" t="s">
        <v>33</v>
      </c>
      <c r="U248" s="3"/>
      <c r="V248" s="3"/>
      <c r="W248" s="3"/>
    </row>
    <row r="249" spans="1:23" ht="13" x14ac:dyDescent="0.15">
      <c r="A249" s="2">
        <v>45597.645876828705</v>
      </c>
      <c r="B249" s="3" t="s">
        <v>79</v>
      </c>
      <c r="D249" s="3">
        <v>6</v>
      </c>
      <c r="G249" s="3">
        <v>8</v>
      </c>
      <c r="H249" s="3">
        <v>5</v>
      </c>
      <c r="I249" s="3" t="s">
        <v>24</v>
      </c>
      <c r="J249" s="3" t="s">
        <v>77</v>
      </c>
      <c r="K249" s="3" t="s">
        <v>78</v>
      </c>
      <c r="L249" s="3" t="s">
        <v>204</v>
      </c>
      <c r="T249" s="3" t="s">
        <v>52</v>
      </c>
      <c r="U249" s="3"/>
      <c r="V249" s="3"/>
      <c r="W249" s="3"/>
    </row>
    <row r="250" spans="1:23" ht="13" x14ac:dyDescent="0.15">
      <c r="A250" s="2">
        <v>45597.646650046299</v>
      </c>
      <c r="B250" s="3" t="s">
        <v>79</v>
      </c>
      <c r="D250" s="3">
        <v>4</v>
      </c>
      <c r="I250" s="3" t="s">
        <v>35</v>
      </c>
      <c r="J250" s="3" t="s">
        <v>25</v>
      </c>
      <c r="K250" s="3" t="s">
        <v>41</v>
      </c>
      <c r="T250" s="3" t="s">
        <v>52</v>
      </c>
      <c r="U250" s="3"/>
      <c r="V250" s="3"/>
      <c r="W250" s="3"/>
    </row>
    <row r="251" spans="1:23" ht="13" x14ac:dyDescent="0.15">
      <c r="A251" s="2">
        <v>45597.648351886572</v>
      </c>
      <c r="B251" s="3" t="s">
        <v>91</v>
      </c>
      <c r="D251" s="3">
        <v>6</v>
      </c>
      <c r="I251" s="3" t="s">
        <v>35</v>
      </c>
      <c r="J251" s="3" t="s">
        <v>36</v>
      </c>
      <c r="K251" s="3" t="s">
        <v>97</v>
      </c>
      <c r="T251" s="3" t="s">
        <v>33</v>
      </c>
      <c r="U251" s="3"/>
      <c r="V251" s="3"/>
      <c r="W251" s="3"/>
    </row>
    <row r="252" spans="1:23" ht="13" x14ac:dyDescent="0.15">
      <c r="A252" s="2">
        <v>45597.64945243056</v>
      </c>
      <c r="B252" s="3" t="s">
        <v>79</v>
      </c>
      <c r="D252" s="3">
        <v>1</v>
      </c>
      <c r="I252" s="3" t="s">
        <v>84</v>
      </c>
      <c r="J252" s="3" t="s">
        <v>25</v>
      </c>
      <c r="K252" s="3" t="s">
        <v>158</v>
      </c>
      <c r="T252" s="3" t="s">
        <v>52</v>
      </c>
      <c r="U252" s="3"/>
      <c r="V252" s="3"/>
      <c r="W252" s="3"/>
    </row>
    <row r="253" spans="1:23" ht="13" x14ac:dyDescent="0.15">
      <c r="A253" s="2">
        <v>45597.660741655098</v>
      </c>
      <c r="B253" s="3" t="s">
        <v>79</v>
      </c>
      <c r="D253" s="3">
        <v>4</v>
      </c>
      <c r="G253" s="3">
        <v>4</v>
      </c>
      <c r="H253" s="3">
        <v>5</v>
      </c>
      <c r="I253" s="3" t="s">
        <v>24</v>
      </c>
      <c r="J253" s="3" t="s">
        <v>77</v>
      </c>
      <c r="K253" s="3" t="s">
        <v>78</v>
      </c>
      <c r="L253" s="3" t="s">
        <v>80</v>
      </c>
      <c r="T253" s="3" t="s">
        <v>52</v>
      </c>
      <c r="U253" s="3"/>
      <c r="V253" s="3"/>
      <c r="W253" s="3"/>
    </row>
    <row r="254" spans="1:23" ht="13" x14ac:dyDescent="0.15">
      <c r="A254" s="2">
        <v>45597.661727905092</v>
      </c>
      <c r="B254" s="3" t="s">
        <v>79</v>
      </c>
      <c r="P254" s="3" t="s">
        <v>49</v>
      </c>
      <c r="Q254" s="3" t="s">
        <v>74</v>
      </c>
      <c r="R254" s="3" t="s">
        <v>205</v>
      </c>
      <c r="T254" s="3" t="s">
        <v>52</v>
      </c>
      <c r="U254" s="3"/>
      <c r="V254" s="3"/>
      <c r="W254" s="3"/>
    </row>
    <row r="255" spans="1:23" ht="13" x14ac:dyDescent="0.15">
      <c r="A255" s="2">
        <v>45597.666097546295</v>
      </c>
      <c r="B255" s="3" t="s">
        <v>79</v>
      </c>
      <c r="D255" s="3">
        <v>2</v>
      </c>
      <c r="I255" s="3" t="s">
        <v>84</v>
      </c>
      <c r="J255" s="3" t="s">
        <v>206</v>
      </c>
      <c r="K255" s="3" t="s">
        <v>40</v>
      </c>
      <c r="T255" s="3" t="s">
        <v>52</v>
      </c>
      <c r="U255" s="3"/>
      <c r="V255" s="3"/>
      <c r="W255" s="3"/>
    </row>
    <row r="256" spans="1:23" ht="13" x14ac:dyDescent="0.15">
      <c r="A256" s="2">
        <v>45597.665485543985</v>
      </c>
      <c r="B256" s="3" t="s">
        <v>79</v>
      </c>
      <c r="D256" s="3">
        <v>8</v>
      </c>
      <c r="G256" s="3">
        <v>9</v>
      </c>
      <c r="H256" s="3">
        <v>5</v>
      </c>
      <c r="I256" s="3" t="s">
        <v>84</v>
      </c>
      <c r="J256" s="3" t="s">
        <v>77</v>
      </c>
      <c r="K256" s="3" t="s">
        <v>78</v>
      </c>
      <c r="R256" s="3" t="s">
        <v>207</v>
      </c>
      <c r="T256" s="3" t="s">
        <v>52</v>
      </c>
      <c r="U256" s="3"/>
      <c r="V256" s="3"/>
      <c r="W256" s="3"/>
    </row>
    <row r="257" spans="1:23" ht="13" x14ac:dyDescent="0.15">
      <c r="A257" s="2">
        <v>45597.666532442134</v>
      </c>
      <c r="B257" s="3" t="s">
        <v>79</v>
      </c>
      <c r="D257" s="3">
        <v>1</v>
      </c>
      <c r="I257" s="3" t="s">
        <v>84</v>
      </c>
      <c r="J257" s="3" t="s">
        <v>206</v>
      </c>
      <c r="K257" s="3" t="s">
        <v>41</v>
      </c>
      <c r="T257" s="3" t="s">
        <v>52</v>
      </c>
      <c r="U257" s="3"/>
      <c r="V257" s="3"/>
      <c r="W257" s="3"/>
    </row>
    <row r="258" spans="1:23" ht="13" x14ac:dyDescent="0.15">
      <c r="A258" s="2">
        <v>45597.667546412034</v>
      </c>
      <c r="B258" s="3" t="s">
        <v>79</v>
      </c>
      <c r="D258" s="3">
        <v>1</v>
      </c>
      <c r="K258" s="3" t="s">
        <v>83</v>
      </c>
      <c r="T258" s="3" t="s">
        <v>52</v>
      </c>
      <c r="U258" s="3"/>
      <c r="V258" s="3"/>
      <c r="W258" s="3"/>
    </row>
    <row r="259" spans="1:23" ht="13" x14ac:dyDescent="0.15">
      <c r="A259" s="2">
        <v>45600.302909409722</v>
      </c>
      <c r="B259" s="3" t="s">
        <v>141</v>
      </c>
      <c r="D259" s="3">
        <v>12</v>
      </c>
      <c r="F259" s="3">
        <v>0</v>
      </c>
      <c r="G259" s="3">
        <v>20</v>
      </c>
      <c r="H259" s="3">
        <v>2</v>
      </c>
      <c r="J259" s="3" t="s">
        <v>25</v>
      </c>
      <c r="K259" s="3" t="s">
        <v>66</v>
      </c>
      <c r="L259" s="3" t="s">
        <v>208</v>
      </c>
      <c r="M259" s="3">
        <v>0</v>
      </c>
      <c r="P259" s="3" t="s">
        <v>209</v>
      </c>
      <c r="Q259" s="3" t="s">
        <v>210</v>
      </c>
      <c r="R259" s="3" t="s">
        <v>211</v>
      </c>
      <c r="S259" s="3">
        <v>1</v>
      </c>
      <c r="T259" s="3" t="s">
        <v>59</v>
      </c>
      <c r="U259" s="3"/>
      <c r="V259" s="3"/>
      <c r="W259" s="3"/>
    </row>
    <row r="260" spans="1:23" ht="13" x14ac:dyDescent="0.15">
      <c r="A260" s="2">
        <v>45600.656759178237</v>
      </c>
      <c r="B260" s="3" t="s">
        <v>135</v>
      </c>
      <c r="F260" s="3">
        <v>883.68</v>
      </c>
      <c r="G260" s="3">
        <v>21.5</v>
      </c>
      <c r="H260" s="3">
        <v>2</v>
      </c>
      <c r="L260" s="3" t="s">
        <v>212</v>
      </c>
      <c r="R260" s="3" t="s">
        <v>201</v>
      </c>
      <c r="S260" s="3">
        <v>4</v>
      </c>
      <c r="T260" s="3" t="s">
        <v>61</v>
      </c>
      <c r="U260" s="3"/>
      <c r="V260" s="3"/>
      <c r="W260" s="3"/>
    </row>
    <row r="261" spans="1:23" ht="13" x14ac:dyDescent="0.15">
      <c r="A261" s="2">
        <v>45600.658437881946</v>
      </c>
      <c r="B261" s="3" t="s">
        <v>135</v>
      </c>
      <c r="D261" s="3">
        <v>1</v>
      </c>
      <c r="I261" s="3" t="s">
        <v>24</v>
      </c>
      <c r="K261" s="3" t="s">
        <v>152</v>
      </c>
      <c r="P261" s="3" t="s">
        <v>153</v>
      </c>
      <c r="R261" s="3" t="s">
        <v>213</v>
      </c>
      <c r="T261" s="3" t="s">
        <v>61</v>
      </c>
      <c r="U261" s="3"/>
      <c r="V261" s="3"/>
      <c r="W261" s="3"/>
    </row>
    <row r="262" spans="1:23" ht="13" x14ac:dyDescent="0.15">
      <c r="A262" s="2">
        <v>45600.664456828701</v>
      </c>
      <c r="B262" s="3" t="s">
        <v>135</v>
      </c>
      <c r="D262" s="3">
        <v>3</v>
      </c>
      <c r="I262" s="3" t="s">
        <v>76</v>
      </c>
      <c r="J262" s="3" t="s">
        <v>103</v>
      </c>
      <c r="K262" s="3" t="s">
        <v>138</v>
      </c>
      <c r="T262" s="3" t="s">
        <v>61</v>
      </c>
      <c r="U262" s="3"/>
      <c r="V262" s="3"/>
      <c r="W262" s="3"/>
    </row>
    <row r="263" spans="1:23" ht="13" x14ac:dyDescent="0.15">
      <c r="A263" s="2">
        <v>45600.665604386573</v>
      </c>
      <c r="B263" s="3" t="s">
        <v>135</v>
      </c>
      <c r="D263" s="3">
        <v>3</v>
      </c>
      <c r="I263" s="3" t="s">
        <v>82</v>
      </c>
      <c r="J263" s="3" t="s">
        <v>25</v>
      </c>
      <c r="K263" s="3" t="s">
        <v>139</v>
      </c>
      <c r="T263" s="3" t="s">
        <v>61</v>
      </c>
      <c r="U263" s="3"/>
      <c r="V263" s="3"/>
      <c r="W263" s="3"/>
    </row>
    <row r="264" spans="1:23" ht="13" x14ac:dyDescent="0.15">
      <c r="A264" s="2">
        <v>45600.666094560183</v>
      </c>
      <c r="B264" s="3" t="s">
        <v>135</v>
      </c>
      <c r="D264" s="3">
        <v>2</v>
      </c>
      <c r="I264" s="3" t="s">
        <v>82</v>
      </c>
      <c r="J264" s="3" t="s">
        <v>25</v>
      </c>
      <c r="K264" s="3" t="s">
        <v>138</v>
      </c>
      <c r="R264" s="3" t="s">
        <v>214</v>
      </c>
      <c r="T264" s="3" t="s">
        <v>61</v>
      </c>
      <c r="U264" s="3"/>
      <c r="V264" s="3"/>
      <c r="W264" s="3"/>
    </row>
    <row r="265" spans="1:23" ht="13" x14ac:dyDescent="0.15">
      <c r="A265" s="2">
        <v>45601.368040208334</v>
      </c>
      <c r="B265" s="3" t="s">
        <v>79</v>
      </c>
      <c r="H265" s="3">
        <v>5</v>
      </c>
      <c r="T265" s="3" t="s">
        <v>52</v>
      </c>
      <c r="U265" s="3"/>
      <c r="V265" s="3"/>
      <c r="W265" s="3"/>
    </row>
    <row r="266" spans="1:23" ht="13" x14ac:dyDescent="0.15">
      <c r="A266" s="2">
        <v>45603.606157488422</v>
      </c>
      <c r="B266" s="3" t="s">
        <v>149</v>
      </c>
      <c r="D266" s="3">
        <v>2</v>
      </c>
      <c r="F266" s="3">
        <v>1297</v>
      </c>
      <c r="G266" s="3">
        <v>23</v>
      </c>
      <c r="H266" s="3">
        <v>5</v>
      </c>
      <c r="I266" s="3" t="s">
        <v>102</v>
      </c>
      <c r="J266" s="3" t="s">
        <v>25</v>
      </c>
      <c r="K266" s="3" t="s">
        <v>139</v>
      </c>
      <c r="L266" s="3" t="s">
        <v>215</v>
      </c>
      <c r="P266" s="3" t="s">
        <v>153</v>
      </c>
      <c r="T266" s="3" t="s">
        <v>45</v>
      </c>
      <c r="U266" s="3"/>
      <c r="V266" s="3"/>
      <c r="W266" s="3"/>
    </row>
    <row r="267" spans="1:23" ht="13" x14ac:dyDescent="0.15">
      <c r="A267" s="2">
        <v>45603.607254872681</v>
      </c>
      <c r="B267" s="3" t="s">
        <v>149</v>
      </c>
      <c r="D267" s="3">
        <v>2</v>
      </c>
      <c r="I267" s="3" t="s">
        <v>35</v>
      </c>
      <c r="J267" s="3" t="s">
        <v>25</v>
      </c>
      <c r="K267" s="3" t="s">
        <v>152</v>
      </c>
      <c r="P267" s="3" t="s">
        <v>153</v>
      </c>
      <c r="R267" s="3" t="s">
        <v>216</v>
      </c>
      <c r="T267" s="3" t="s">
        <v>45</v>
      </c>
      <c r="U267" s="3"/>
      <c r="V267" s="3"/>
      <c r="W267" s="3"/>
    </row>
    <row r="268" spans="1:23" ht="13" x14ac:dyDescent="0.15">
      <c r="A268" s="2">
        <v>45604.520709988428</v>
      </c>
      <c r="B268" s="3" t="s">
        <v>121</v>
      </c>
      <c r="D268" s="3">
        <v>4</v>
      </c>
      <c r="H268" s="3">
        <v>20</v>
      </c>
      <c r="I268" s="3" t="s">
        <v>24</v>
      </c>
      <c r="J268" s="3" t="s">
        <v>103</v>
      </c>
      <c r="K268" s="3" t="s">
        <v>142</v>
      </c>
      <c r="S268" s="3">
        <v>6</v>
      </c>
      <c r="T268" s="3" t="s">
        <v>44</v>
      </c>
      <c r="U268" s="3"/>
      <c r="V268" s="3"/>
      <c r="W268" s="3"/>
    </row>
    <row r="269" spans="1:23" ht="13" x14ac:dyDescent="0.15">
      <c r="A269" s="2">
        <v>45607.364308993056</v>
      </c>
      <c r="B269" s="3" t="s">
        <v>141</v>
      </c>
      <c r="D269" s="3">
        <v>14</v>
      </c>
      <c r="G269" s="3">
        <v>20</v>
      </c>
      <c r="H269" s="3">
        <v>2</v>
      </c>
      <c r="I269" s="3" t="s">
        <v>84</v>
      </c>
      <c r="J269" s="3" t="s">
        <v>25</v>
      </c>
      <c r="L269" s="3" t="s">
        <v>217</v>
      </c>
      <c r="M269" s="3">
        <v>16</v>
      </c>
      <c r="T269" s="3" t="s">
        <v>59</v>
      </c>
      <c r="U269" s="3"/>
      <c r="V269" s="3"/>
      <c r="W269" s="3"/>
    </row>
    <row r="270" spans="1:23" ht="13" x14ac:dyDescent="0.15">
      <c r="A270" s="2">
        <v>45607.575679189817</v>
      </c>
      <c r="B270" s="3" t="s">
        <v>69</v>
      </c>
      <c r="M270" s="3">
        <v>8</v>
      </c>
      <c r="T270" s="3" t="s">
        <v>54</v>
      </c>
      <c r="U270" s="3"/>
      <c r="V270" s="3"/>
      <c r="W270" s="3"/>
    </row>
    <row r="271" spans="1:23" ht="13" x14ac:dyDescent="0.15">
      <c r="A271" s="2">
        <v>45607.576248460653</v>
      </c>
      <c r="B271" s="3" t="s">
        <v>69</v>
      </c>
      <c r="G271" s="3">
        <v>6</v>
      </c>
      <c r="R271" s="3" t="s">
        <v>88</v>
      </c>
      <c r="T271" s="3" t="s">
        <v>54</v>
      </c>
      <c r="U271" s="3"/>
      <c r="V271" s="3"/>
      <c r="W271" s="3"/>
    </row>
    <row r="272" spans="1:23" ht="13" x14ac:dyDescent="0.15">
      <c r="A272" s="2">
        <v>45607.577076886577</v>
      </c>
      <c r="B272" s="3" t="s">
        <v>69</v>
      </c>
      <c r="D272" s="3">
        <v>4</v>
      </c>
      <c r="H272" s="3">
        <v>10</v>
      </c>
      <c r="I272" s="3" t="s">
        <v>24</v>
      </c>
      <c r="J272" s="3" t="s">
        <v>77</v>
      </c>
      <c r="K272" s="3" t="s">
        <v>40</v>
      </c>
      <c r="R272" s="3" t="s">
        <v>88</v>
      </c>
      <c r="T272" s="3" t="s">
        <v>54</v>
      </c>
      <c r="U272" s="3"/>
      <c r="V272" s="3"/>
      <c r="W272" s="3"/>
    </row>
    <row r="273" spans="1:23" ht="13" x14ac:dyDescent="0.15">
      <c r="A273" s="2">
        <v>45607.577917002316</v>
      </c>
      <c r="B273" s="3" t="s">
        <v>69</v>
      </c>
      <c r="D273" s="3">
        <v>5</v>
      </c>
      <c r="J273" s="3" t="s">
        <v>77</v>
      </c>
      <c r="K273" s="3" t="s">
        <v>40</v>
      </c>
      <c r="T273" s="3" t="s">
        <v>54</v>
      </c>
      <c r="U273" s="3"/>
      <c r="V273" s="3"/>
      <c r="W273" s="3"/>
    </row>
    <row r="274" spans="1:23" ht="13" x14ac:dyDescent="0.15">
      <c r="A274" s="2">
        <v>45608.587223194445</v>
      </c>
      <c r="B274" s="3" t="s">
        <v>149</v>
      </c>
      <c r="D274" s="3">
        <v>2</v>
      </c>
      <c r="G274" s="3">
        <v>23</v>
      </c>
      <c r="H274" s="3">
        <v>4</v>
      </c>
      <c r="I274" s="3" t="s">
        <v>102</v>
      </c>
      <c r="J274" s="3" t="s">
        <v>25</v>
      </c>
      <c r="K274" s="3" t="s">
        <v>152</v>
      </c>
      <c r="L274" s="3" t="s">
        <v>218</v>
      </c>
      <c r="P274" s="3" t="s">
        <v>153</v>
      </c>
      <c r="R274" s="3" t="s">
        <v>216</v>
      </c>
      <c r="S274" s="3">
        <v>2</v>
      </c>
      <c r="T274" s="3" t="s">
        <v>45</v>
      </c>
      <c r="U274" s="3"/>
      <c r="V274" s="3"/>
      <c r="W274" s="3"/>
    </row>
    <row r="275" spans="1:23" ht="13" x14ac:dyDescent="0.15">
      <c r="A275" s="2">
        <v>45608.634556111108</v>
      </c>
      <c r="B275" s="3" t="s">
        <v>79</v>
      </c>
      <c r="F275" s="9">
        <v>504.69</v>
      </c>
      <c r="T275" s="3" t="s">
        <v>52</v>
      </c>
      <c r="U275" s="3"/>
      <c r="V275" s="3"/>
      <c r="W275" s="3"/>
    </row>
    <row r="276" spans="1:23" ht="13" x14ac:dyDescent="0.15">
      <c r="A276" s="2">
        <v>45608.635901770831</v>
      </c>
      <c r="B276" s="3" t="s">
        <v>79</v>
      </c>
      <c r="G276" s="3">
        <v>6</v>
      </c>
      <c r="H276" s="3">
        <v>5</v>
      </c>
      <c r="L276" s="3" t="s">
        <v>156</v>
      </c>
      <c r="R276" s="3" t="s">
        <v>219</v>
      </c>
      <c r="T276" s="3" t="s">
        <v>52</v>
      </c>
      <c r="U276" s="3"/>
      <c r="V276" s="3"/>
      <c r="W276" s="3"/>
    </row>
    <row r="277" spans="1:23" ht="13" x14ac:dyDescent="0.15">
      <c r="A277" s="2">
        <v>45609.384611215282</v>
      </c>
      <c r="B277" s="3" t="s">
        <v>47</v>
      </c>
      <c r="D277" s="3">
        <v>8</v>
      </c>
      <c r="F277" s="7">
        <v>1403</v>
      </c>
      <c r="G277" s="3">
        <v>9</v>
      </c>
      <c r="H277" s="3">
        <v>35</v>
      </c>
      <c r="I277" s="3" t="s">
        <v>76</v>
      </c>
      <c r="J277" s="3" t="s">
        <v>25</v>
      </c>
      <c r="K277" s="3" t="s">
        <v>100</v>
      </c>
      <c r="L277" s="3" t="s">
        <v>171</v>
      </c>
      <c r="P277" s="3" t="s">
        <v>86</v>
      </c>
      <c r="R277" s="3" t="s">
        <v>220</v>
      </c>
      <c r="T277" s="3" t="s">
        <v>50</v>
      </c>
      <c r="U277" s="3"/>
      <c r="V277" s="3"/>
      <c r="W277" s="3"/>
    </row>
    <row r="278" spans="1:23" ht="13" x14ac:dyDescent="0.15">
      <c r="A278" s="2">
        <v>45609.385868020836</v>
      </c>
      <c r="B278" s="3" t="s">
        <v>47</v>
      </c>
      <c r="D278" s="3">
        <v>3</v>
      </c>
      <c r="P278" s="3" t="s">
        <v>49</v>
      </c>
      <c r="R278" s="3" t="s">
        <v>221</v>
      </c>
      <c r="T278" s="3" t="s">
        <v>50</v>
      </c>
      <c r="U278" s="3"/>
      <c r="V278" s="3"/>
      <c r="W278" s="3"/>
    </row>
    <row r="279" spans="1:23" ht="13" x14ac:dyDescent="0.15">
      <c r="A279" s="2">
        <v>45609.386932974536</v>
      </c>
      <c r="B279" s="3" t="s">
        <v>47</v>
      </c>
      <c r="D279" s="3">
        <v>15</v>
      </c>
      <c r="I279" s="3" t="s">
        <v>24</v>
      </c>
      <c r="J279" s="3" t="s">
        <v>103</v>
      </c>
      <c r="K279" s="3" t="s">
        <v>101</v>
      </c>
      <c r="R279" s="3" t="s">
        <v>73</v>
      </c>
      <c r="T279" s="3" t="s">
        <v>50</v>
      </c>
      <c r="U279" s="3"/>
      <c r="V279" s="3"/>
      <c r="W279" s="3"/>
    </row>
    <row r="280" spans="1:23" ht="13" x14ac:dyDescent="0.15">
      <c r="A280" s="2">
        <v>45609.388248391202</v>
      </c>
      <c r="B280" s="3" t="s">
        <v>47</v>
      </c>
      <c r="D280" s="3">
        <v>2</v>
      </c>
      <c r="F280" s="7">
        <v>1243</v>
      </c>
      <c r="I280" s="3" t="s">
        <v>102</v>
      </c>
      <c r="J280" s="3" t="s">
        <v>103</v>
      </c>
      <c r="K280" s="3" t="s">
        <v>97</v>
      </c>
      <c r="T280" s="3" t="s">
        <v>50</v>
      </c>
      <c r="U280" s="3"/>
      <c r="V280" s="3"/>
      <c r="W280" s="3"/>
    </row>
    <row r="281" spans="1:23" ht="13" x14ac:dyDescent="0.15">
      <c r="A281" s="2">
        <v>45609.389575624999</v>
      </c>
      <c r="B281" s="3" t="s">
        <v>47</v>
      </c>
      <c r="D281" s="3">
        <v>3</v>
      </c>
      <c r="J281" s="3" t="s">
        <v>70</v>
      </c>
      <c r="K281" s="3" t="s">
        <v>97</v>
      </c>
      <c r="T281" s="3" t="s">
        <v>50</v>
      </c>
      <c r="U281" s="3"/>
      <c r="V281" s="3"/>
      <c r="W281" s="3"/>
    </row>
    <row r="282" spans="1:23" ht="13" x14ac:dyDescent="0.15">
      <c r="A282" s="2">
        <v>45610.537811770831</v>
      </c>
      <c r="B282" s="3" t="s">
        <v>135</v>
      </c>
      <c r="R282" s="3" t="s">
        <v>222</v>
      </c>
      <c r="T282" s="3" t="s">
        <v>61</v>
      </c>
      <c r="U282" s="3"/>
      <c r="V282" s="3"/>
      <c r="W282" s="3"/>
    </row>
    <row r="283" spans="1:23" ht="13" x14ac:dyDescent="0.15">
      <c r="A283" s="2">
        <v>45611.475843703709</v>
      </c>
      <c r="B283" s="3" t="s">
        <v>79</v>
      </c>
      <c r="G283" s="3">
        <v>11</v>
      </c>
      <c r="H283" s="3">
        <v>2</v>
      </c>
      <c r="L283" s="3" t="s">
        <v>156</v>
      </c>
      <c r="S283" s="3">
        <v>1</v>
      </c>
      <c r="T283" s="3" t="s">
        <v>52</v>
      </c>
      <c r="U283" s="3"/>
      <c r="V283" s="3"/>
      <c r="W283" s="3"/>
    </row>
    <row r="284" spans="1:23" ht="13" x14ac:dyDescent="0.15">
      <c r="A284" s="2">
        <v>45615.690635590276</v>
      </c>
      <c r="B284" s="3" t="s">
        <v>223</v>
      </c>
      <c r="F284" s="3">
        <v>2988</v>
      </c>
      <c r="L284" s="3" t="s">
        <v>224</v>
      </c>
      <c r="M284" s="3">
        <v>30</v>
      </c>
      <c r="T284" s="3" t="s">
        <v>64</v>
      </c>
      <c r="U284" s="3"/>
      <c r="V284" s="3"/>
      <c r="W284" s="3"/>
    </row>
    <row r="285" spans="1:23" ht="13" x14ac:dyDescent="0.15">
      <c r="A285" s="2">
        <v>45615.692422118052</v>
      </c>
      <c r="B285" s="3" t="s">
        <v>223</v>
      </c>
      <c r="D285" s="3">
        <v>1</v>
      </c>
      <c r="J285" s="3" t="s">
        <v>65</v>
      </c>
      <c r="K285" s="3" t="s">
        <v>26</v>
      </c>
      <c r="T285" s="3" t="s">
        <v>64</v>
      </c>
      <c r="U285" s="3"/>
      <c r="V285" s="3"/>
      <c r="W285" s="3"/>
    </row>
    <row r="286" spans="1:23" ht="13" x14ac:dyDescent="0.15">
      <c r="A286" s="2">
        <v>45615.692658680557</v>
      </c>
      <c r="B286" s="3" t="s">
        <v>223</v>
      </c>
      <c r="D286" s="3">
        <v>1</v>
      </c>
      <c r="J286" s="3" t="s">
        <v>65</v>
      </c>
      <c r="K286" s="3" t="s">
        <v>140</v>
      </c>
      <c r="T286" s="3" t="s">
        <v>64</v>
      </c>
      <c r="U286" s="3"/>
      <c r="V286" s="3"/>
      <c r="W286" s="3"/>
    </row>
    <row r="287" spans="1:23" ht="13" x14ac:dyDescent="0.15">
      <c r="A287" s="2">
        <v>45615.692885613425</v>
      </c>
      <c r="B287" s="3" t="s">
        <v>223</v>
      </c>
      <c r="D287" s="3">
        <v>1</v>
      </c>
      <c r="J287" s="3" t="s">
        <v>65</v>
      </c>
      <c r="K287" s="3" t="s">
        <v>139</v>
      </c>
      <c r="T287" s="3" t="s">
        <v>64</v>
      </c>
      <c r="U287" s="3"/>
      <c r="V287" s="3"/>
      <c r="W287" s="3"/>
    </row>
    <row r="288" spans="1:23" ht="13" x14ac:dyDescent="0.15">
      <c r="A288" s="2">
        <v>45615.693206122683</v>
      </c>
      <c r="B288" s="3" t="s">
        <v>223</v>
      </c>
      <c r="D288" s="3">
        <v>2</v>
      </c>
      <c r="J288" s="3" t="s">
        <v>65</v>
      </c>
      <c r="K288" s="3" t="s">
        <v>138</v>
      </c>
      <c r="T288" s="3" t="s">
        <v>64</v>
      </c>
      <c r="U288" s="3"/>
      <c r="V288" s="3"/>
      <c r="W288" s="3"/>
    </row>
    <row r="289" spans="1:23" ht="13" x14ac:dyDescent="0.15">
      <c r="A289" s="2">
        <v>45615.693394745365</v>
      </c>
      <c r="B289" s="3" t="s">
        <v>223</v>
      </c>
      <c r="D289" s="3">
        <v>2</v>
      </c>
      <c r="J289" s="3" t="s">
        <v>65</v>
      </c>
      <c r="K289" s="3" t="s">
        <v>146</v>
      </c>
      <c r="T289" s="3" t="s">
        <v>64</v>
      </c>
      <c r="U289" s="3"/>
      <c r="V289" s="3"/>
      <c r="W289" s="3"/>
    </row>
    <row r="290" spans="1:23" ht="13" x14ac:dyDescent="0.15">
      <c r="A290" s="2">
        <v>45615.693678703705</v>
      </c>
      <c r="B290" s="3" t="s">
        <v>223</v>
      </c>
      <c r="D290" s="3">
        <v>2</v>
      </c>
      <c r="J290" s="3" t="s">
        <v>65</v>
      </c>
      <c r="K290" s="3" t="s">
        <v>151</v>
      </c>
      <c r="T290" s="3" t="s">
        <v>64</v>
      </c>
      <c r="U290" s="3"/>
      <c r="V290" s="3"/>
      <c r="W290" s="3"/>
    </row>
    <row r="291" spans="1:23" ht="13" x14ac:dyDescent="0.15">
      <c r="A291" s="2">
        <v>45615.6938912037</v>
      </c>
      <c r="B291" s="3" t="s">
        <v>223</v>
      </c>
      <c r="D291" s="3">
        <v>2</v>
      </c>
      <c r="J291" s="3" t="s">
        <v>65</v>
      </c>
      <c r="K291" s="3" t="s">
        <v>142</v>
      </c>
      <c r="T291" s="3" t="s">
        <v>64</v>
      </c>
      <c r="U291" s="3"/>
      <c r="V291" s="3"/>
      <c r="W291" s="3"/>
    </row>
    <row r="292" spans="1:23" ht="13" x14ac:dyDescent="0.15">
      <c r="A292" s="2">
        <v>45615.694246863422</v>
      </c>
      <c r="B292" s="3" t="s">
        <v>223</v>
      </c>
      <c r="D292" s="3">
        <v>2</v>
      </c>
      <c r="J292" s="3" t="s">
        <v>65</v>
      </c>
      <c r="K292" s="3" t="s">
        <v>152</v>
      </c>
      <c r="T292" s="3" t="s">
        <v>64</v>
      </c>
      <c r="U292" s="3"/>
      <c r="V292" s="3"/>
      <c r="W292" s="3"/>
    </row>
    <row r="293" spans="1:23" ht="13" x14ac:dyDescent="0.15">
      <c r="A293" s="2">
        <v>45615.695365324078</v>
      </c>
      <c r="B293" s="3" t="s">
        <v>223</v>
      </c>
      <c r="D293" s="3">
        <v>2</v>
      </c>
      <c r="J293" s="3" t="s">
        <v>65</v>
      </c>
      <c r="K293" s="3" t="s">
        <v>146</v>
      </c>
      <c r="T293" s="3" t="s">
        <v>64</v>
      </c>
      <c r="U293" s="3"/>
      <c r="V293" s="3"/>
      <c r="W293" s="3"/>
    </row>
    <row r="294" spans="1:23" ht="13" x14ac:dyDescent="0.15">
      <c r="A294" s="2">
        <v>45615.695563854169</v>
      </c>
      <c r="B294" s="3" t="s">
        <v>223</v>
      </c>
      <c r="D294" s="3">
        <v>2</v>
      </c>
      <c r="J294" s="3" t="s">
        <v>65</v>
      </c>
      <c r="K294" s="3" t="s">
        <v>151</v>
      </c>
      <c r="T294" s="3" t="s">
        <v>64</v>
      </c>
      <c r="U294" s="3"/>
      <c r="V294" s="3"/>
      <c r="W294" s="3"/>
    </row>
    <row r="295" spans="1:23" ht="13" x14ac:dyDescent="0.15">
      <c r="A295" s="2">
        <v>45615.696110682868</v>
      </c>
      <c r="B295" s="3" t="s">
        <v>223</v>
      </c>
      <c r="D295" s="3">
        <v>2</v>
      </c>
      <c r="J295" s="3" t="s">
        <v>65</v>
      </c>
      <c r="K295" s="3" t="s">
        <v>142</v>
      </c>
      <c r="T295" s="3" t="s">
        <v>64</v>
      </c>
      <c r="U295" s="3"/>
      <c r="V295" s="3"/>
      <c r="W295" s="3"/>
    </row>
    <row r="296" spans="1:23" ht="13" x14ac:dyDescent="0.15">
      <c r="A296" s="2">
        <v>45615.696819710647</v>
      </c>
      <c r="B296" s="3" t="s">
        <v>223</v>
      </c>
      <c r="D296" s="3">
        <v>1</v>
      </c>
      <c r="J296" s="3" t="s">
        <v>25</v>
      </c>
      <c r="K296" s="3" t="s">
        <v>26</v>
      </c>
      <c r="T296" s="3" t="s">
        <v>64</v>
      </c>
      <c r="U296" s="3"/>
      <c r="V296" s="3"/>
      <c r="W296" s="3"/>
    </row>
    <row r="297" spans="1:23" ht="13" x14ac:dyDescent="0.15">
      <c r="A297" s="2">
        <v>45615.696994259255</v>
      </c>
      <c r="B297" s="3" t="s">
        <v>223</v>
      </c>
      <c r="D297" s="3">
        <v>1</v>
      </c>
      <c r="J297" s="3" t="s">
        <v>25</v>
      </c>
      <c r="K297" s="3" t="s">
        <v>140</v>
      </c>
      <c r="T297" s="3" t="s">
        <v>64</v>
      </c>
      <c r="U297" s="3"/>
      <c r="V297" s="3"/>
      <c r="W297" s="3"/>
    </row>
    <row r="298" spans="1:23" ht="13" x14ac:dyDescent="0.15">
      <c r="A298" s="2">
        <v>45615.697190243052</v>
      </c>
      <c r="B298" s="3" t="s">
        <v>223</v>
      </c>
      <c r="D298" s="3">
        <v>1</v>
      </c>
      <c r="J298" s="3" t="s">
        <v>25</v>
      </c>
      <c r="K298" s="3" t="s">
        <v>139</v>
      </c>
      <c r="T298" s="3" t="s">
        <v>64</v>
      </c>
      <c r="U298" s="3"/>
      <c r="V298" s="3"/>
      <c r="W298" s="3"/>
    </row>
    <row r="299" spans="1:23" ht="13" x14ac:dyDescent="0.15">
      <c r="A299" s="2">
        <v>45615.697370601847</v>
      </c>
      <c r="B299" s="3" t="s">
        <v>223</v>
      </c>
      <c r="D299" s="3">
        <v>2</v>
      </c>
      <c r="J299" s="3" t="s">
        <v>25</v>
      </c>
      <c r="K299" s="3" t="s">
        <v>138</v>
      </c>
      <c r="T299" s="3" t="s">
        <v>64</v>
      </c>
      <c r="U299" s="3"/>
      <c r="V299" s="3"/>
      <c r="W299" s="3"/>
    </row>
    <row r="300" spans="1:23" ht="13" x14ac:dyDescent="0.15">
      <c r="A300" s="2">
        <v>45615.697646631947</v>
      </c>
      <c r="B300" s="3" t="s">
        <v>223</v>
      </c>
      <c r="D300" s="3">
        <v>2</v>
      </c>
      <c r="J300" s="3" t="s">
        <v>25</v>
      </c>
      <c r="K300" s="3" t="s">
        <v>152</v>
      </c>
      <c r="T300" s="3" t="s">
        <v>64</v>
      </c>
      <c r="U300" s="3"/>
      <c r="V300" s="3"/>
      <c r="W300" s="3"/>
    </row>
    <row r="301" spans="1:23" ht="13" x14ac:dyDescent="0.15">
      <c r="A301" s="2">
        <v>45615.698068206024</v>
      </c>
      <c r="B301" s="3" t="s">
        <v>223</v>
      </c>
      <c r="D301" s="3">
        <v>2</v>
      </c>
      <c r="J301" s="3" t="s">
        <v>25</v>
      </c>
      <c r="K301" s="3" t="s">
        <v>146</v>
      </c>
      <c r="T301" s="3" t="s">
        <v>64</v>
      </c>
      <c r="U301" s="3"/>
      <c r="V301" s="3"/>
      <c r="W301" s="3"/>
    </row>
    <row r="302" spans="1:23" ht="13" x14ac:dyDescent="0.15">
      <c r="A302" s="2">
        <v>45615.698251249996</v>
      </c>
      <c r="B302" s="3" t="s">
        <v>223</v>
      </c>
      <c r="D302" s="3">
        <v>2</v>
      </c>
      <c r="J302" s="3" t="s">
        <v>25</v>
      </c>
      <c r="K302" s="3" t="s">
        <v>151</v>
      </c>
      <c r="T302" s="3" t="s">
        <v>64</v>
      </c>
      <c r="U302" s="3"/>
      <c r="V302" s="3"/>
      <c r="W302" s="3"/>
    </row>
    <row r="303" spans="1:23" ht="13" x14ac:dyDescent="0.15">
      <c r="A303" s="2">
        <v>45615.698421608795</v>
      </c>
      <c r="B303" s="3" t="s">
        <v>223</v>
      </c>
      <c r="D303" s="3">
        <v>2</v>
      </c>
      <c r="J303" s="3" t="s">
        <v>25</v>
      </c>
      <c r="K303" s="3" t="s">
        <v>142</v>
      </c>
      <c r="T303" s="3" t="s">
        <v>64</v>
      </c>
      <c r="U303" s="3"/>
      <c r="V303" s="3"/>
      <c r="W303" s="3"/>
    </row>
    <row r="304" spans="1:23" ht="13" x14ac:dyDescent="0.15">
      <c r="A304" s="2">
        <v>45615.699699259261</v>
      </c>
      <c r="B304" s="3" t="s">
        <v>223</v>
      </c>
      <c r="D304" s="3">
        <v>3</v>
      </c>
      <c r="J304" s="3" t="s">
        <v>36</v>
      </c>
      <c r="K304" s="3" t="s">
        <v>142</v>
      </c>
      <c r="T304" s="3" t="s">
        <v>64</v>
      </c>
      <c r="U304" s="3"/>
      <c r="V304" s="3"/>
      <c r="W304" s="3"/>
    </row>
    <row r="305" spans="1:23" ht="13" x14ac:dyDescent="0.15">
      <c r="A305" s="2">
        <v>45615.703698680554</v>
      </c>
      <c r="B305" s="3" t="s">
        <v>223</v>
      </c>
      <c r="D305" s="3">
        <v>1</v>
      </c>
      <c r="J305" s="3" t="s">
        <v>103</v>
      </c>
      <c r="K305" s="3" t="s">
        <v>139</v>
      </c>
      <c r="T305" s="3" t="s">
        <v>64</v>
      </c>
      <c r="U305" s="3"/>
      <c r="V305" s="3"/>
      <c r="W305" s="3"/>
    </row>
    <row r="306" spans="1:23" ht="13" x14ac:dyDescent="0.15">
      <c r="A306" s="2">
        <v>45615.703967997688</v>
      </c>
      <c r="B306" s="3" t="s">
        <v>223</v>
      </c>
      <c r="D306" s="3">
        <v>1</v>
      </c>
      <c r="J306" s="3" t="s">
        <v>103</v>
      </c>
      <c r="K306" s="3" t="s">
        <v>140</v>
      </c>
      <c r="T306" s="3" t="s">
        <v>64</v>
      </c>
      <c r="U306" s="3"/>
      <c r="V306" s="3"/>
      <c r="W306" s="3"/>
    </row>
    <row r="307" spans="1:23" ht="13" x14ac:dyDescent="0.15">
      <c r="A307" s="2">
        <v>45615.704179398148</v>
      </c>
      <c r="B307" s="3" t="s">
        <v>223</v>
      </c>
      <c r="D307" s="3">
        <v>2</v>
      </c>
      <c r="J307" s="3" t="s">
        <v>103</v>
      </c>
      <c r="K307" s="3" t="s">
        <v>138</v>
      </c>
      <c r="T307" s="3" t="s">
        <v>64</v>
      </c>
      <c r="U307" s="3"/>
      <c r="V307" s="3"/>
      <c r="W307" s="3"/>
    </row>
    <row r="308" spans="1:23" ht="13" x14ac:dyDescent="0.15">
      <c r="A308" s="2">
        <v>45615.712034050928</v>
      </c>
      <c r="B308" s="3" t="s">
        <v>223</v>
      </c>
      <c r="D308" s="3">
        <v>1</v>
      </c>
      <c r="J308" s="3" t="s">
        <v>103</v>
      </c>
      <c r="K308" s="3" t="s">
        <v>140</v>
      </c>
      <c r="T308" s="3" t="s">
        <v>64</v>
      </c>
      <c r="U308" s="3"/>
      <c r="V308" s="3"/>
      <c r="W308" s="3"/>
    </row>
    <row r="309" spans="1:23" ht="13" x14ac:dyDescent="0.15">
      <c r="A309" s="2">
        <v>45615.712262488421</v>
      </c>
      <c r="B309" s="3" t="s">
        <v>223</v>
      </c>
      <c r="D309" s="3">
        <v>2</v>
      </c>
      <c r="J309" s="3" t="s">
        <v>77</v>
      </c>
      <c r="K309" s="3" t="s">
        <v>151</v>
      </c>
      <c r="T309" s="3" t="s">
        <v>64</v>
      </c>
      <c r="U309" s="3"/>
      <c r="V309" s="3"/>
      <c r="W309" s="3"/>
    </row>
    <row r="310" spans="1:23" ht="13" x14ac:dyDescent="0.15">
      <c r="A310" s="2">
        <v>45615.712655370371</v>
      </c>
      <c r="B310" s="3" t="s">
        <v>223</v>
      </c>
      <c r="D310" s="3">
        <v>2</v>
      </c>
      <c r="J310" s="3" t="s">
        <v>103</v>
      </c>
      <c r="K310" s="3" t="s">
        <v>138</v>
      </c>
      <c r="T310" s="3" t="s">
        <v>64</v>
      </c>
      <c r="U310" s="3"/>
      <c r="V310" s="3"/>
      <c r="W310" s="3"/>
    </row>
    <row r="311" spans="1:23" ht="13" x14ac:dyDescent="0.15">
      <c r="A311" s="2">
        <v>45615.71292337963</v>
      </c>
      <c r="B311" s="3" t="s">
        <v>223</v>
      </c>
      <c r="D311" s="3">
        <v>2</v>
      </c>
      <c r="J311" s="3" t="s">
        <v>77</v>
      </c>
      <c r="K311" s="3" t="s">
        <v>146</v>
      </c>
      <c r="T311" s="3" t="s">
        <v>64</v>
      </c>
      <c r="U311" s="3"/>
      <c r="V311" s="3"/>
      <c r="W311" s="3"/>
    </row>
    <row r="312" spans="1:23" ht="13" x14ac:dyDescent="0.15">
      <c r="A312" s="2">
        <v>45615.713166145833</v>
      </c>
      <c r="B312" s="3" t="s">
        <v>223</v>
      </c>
      <c r="D312" s="3">
        <v>1</v>
      </c>
      <c r="J312" s="3" t="s">
        <v>25</v>
      </c>
      <c r="K312" s="3" t="s">
        <v>26</v>
      </c>
      <c r="T312" s="3" t="s">
        <v>64</v>
      </c>
      <c r="U312" s="3"/>
      <c r="V312" s="3"/>
      <c r="W312" s="3"/>
    </row>
    <row r="313" spans="1:23" ht="13" x14ac:dyDescent="0.15">
      <c r="A313" s="2">
        <v>45615.713363055555</v>
      </c>
      <c r="B313" s="3" t="s">
        <v>223</v>
      </c>
      <c r="D313" s="3">
        <v>2</v>
      </c>
      <c r="J313" s="3" t="s">
        <v>25</v>
      </c>
      <c r="K313" s="3" t="s">
        <v>152</v>
      </c>
      <c r="T313" s="3" t="s">
        <v>64</v>
      </c>
      <c r="U313" s="3"/>
      <c r="V313" s="3"/>
      <c r="W313" s="3"/>
    </row>
    <row r="314" spans="1:23" ht="13" x14ac:dyDescent="0.15">
      <c r="A314" s="2">
        <v>45615.713670416662</v>
      </c>
      <c r="B314" s="3" t="s">
        <v>223</v>
      </c>
      <c r="D314" s="3">
        <v>1</v>
      </c>
      <c r="J314" s="3" t="s">
        <v>103</v>
      </c>
      <c r="K314" s="3" t="s">
        <v>140</v>
      </c>
      <c r="T314" s="3" t="s">
        <v>64</v>
      </c>
      <c r="U314" s="3"/>
      <c r="V314" s="3"/>
      <c r="W314" s="3"/>
    </row>
    <row r="315" spans="1:23" ht="13" x14ac:dyDescent="0.15">
      <c r="A315" s="2">
        <v>45615.713980486107</v>
      </c>
      <c r="B315" s="3" t="s">
        <v>223</v>
      </c>
      <c r="D315" s="3">
        <v>1</v>
      </c>
      <c r="J315" s="3" t="s">
        <v>77</v>
      </c>
      <c r="K315" s="3" t="s">
        <v>139</v>
      </c>
      <c r="T315" s="3" t="s">
        <v>64</v>
      </c>
      <c r="U315" s="3"/>
      <c r="V315" s="3"/>
      <c r="W315" s="3"/>
    </row>
    <row r="316" spans="1:23" ht="13" x14ac:dyDescent="0.15">
      <c r="A316" s="2">
        <v>45615.7142241088</v>
      </c>
      <c r="B316" s="3" t="s">
        <v>223</v>
      </c>
      <c r="D316" s="3">
        <v>2</v>
      </c>
      <c r="J316" s="3" t="s">
        <v>77</v>
      </c>
      <c r="K316" s="3" t="s">
        <v>151</v>
      </c>
      <c r="T316" s="3" t="s">
        <v>64</v>
      </c>
      <c r="U316" s="3"/>
      <c r="V316" s="3"/>
      <c r="W316" s="3"/>
    </row>
    <row r="317" spans="1:23" ht="13" x14ac:dyDescent="0.15">
      <c r="A317" s="2">
        <v>45615.714477777779</v>
      </c>
      <c r="B317" s="3" t="s">
        <v>223</v>
      </c>
      <c r="D317" s="3">
        <v>2</v>
      </c>
      <c r="J317" s="3" t="s">
        <v>103</v>
      </c>
      <c r="K317" s="3" t="s">
        <v>138</v>
      </c>
      <c r="T317" s="3" t="s">
        <v>64</v>
      </c>
      <c r="U317" s="3"/>
      <c r="V317" s="3"/>
      <c r="W317" s="3"/>
    </row>
    <row r="318" spans="1:23" ht="13" x14ac:dyDescent="0.15">
      <c r="A318" s="2">
        <v>45615.714731168977</v>
      </c>
      <c r="B318" s="3" t="s">
        <v>223</v>
      </c>
      <c r="D318" s="3">
        <v>2</v>
      </c>
      <c r="J318" s="3" t="s">
        <v>77</v>
      </c>
      <c r="K318" s="3" t="s">
        <v>146</v>
      </c>
      <c r="T318" s="3" t="s">
        <v>64</v>
      </c>
      <c r="U318" s="3"/>
      <c r="V318" s="3"/>
      <c r="W318" s="3"/>
    </row>
    <row r="319" spans="1:23" ht="13" x14ac:dyDescent="0.15">
      <c r="A319" s="2">
        <v>45615.714970555557</v>
      </c>
      <c r="B319" s="3" t="s">
        <v>223</v>
      </c>
      <c r="D319" s="3">
        <v>2</v>
      </c>
      <c r="J319" s="3" t="s">
        <v>77</v>
      </c>
      <c r="K319" s="3" t="s">
        <v>142</v>
      </c>
      <c r="T319" s="3" t="s">
        <v>64</v>
      </c>
      <c r="U319" s="3"/>
      <c r="V319" s="3"/>
      <c r="W319" s="3"/>
    </row>
    <row r="320" spans="1:23" ht="13" x14ac:dyDescent="0.15">
      <c r="A320" s="2">
        <v>45615.715222557876</v>
      </c>
      <c r="B320" s="3" t="s">
        <v>223</v>
      </c>
      <c r="D320" s="3">
        <v>1</v>
      </c>
      <c r="J320" s="3" t="s">
        <v>25</v>
      </c>
      <c r="K320" s="3" t="s">
        <v>26</v>
      </c>
      <c r="T320" s="3" t="s">
        <v>64</v>
      </c>
      <c r="U320" s="3"/>
      <c r="V320" s="3"/>
      <c r="W320" s="3"/>
    </row>
    <row r="321" spans="1:23" ht="13" x14ac:dyDescent="0.15">
      <c r="A321" s="2">
        <v>45615.716960925929</v>
      </c>
      <c r="B321" s="3" t="s">
        <v>223</v>
      </c>
      <c r="D321" s="3">
        <v>1</v>
      </c>
      <c r="J321" s="3" t="s">
        <v>103</v>
      </c>
      <c r="K321" s="3" t="s">
        <v>140</v>
      </c>
      <c r="T321" s="3" t="s">
        <v>64</v>
      </c>
      <c r="U321" s="3"/>
      <c r="V321" s="3"/>
      <c r="W321" s="3"/>
    </row>
    <row r="322" spans="1:23" ht="13" x14ac:dyDescent="0.15">
      <c r="A322" s="2">
        <v>45615.7171900463</v>
      </c>
      <c r="B322" s="3" t="s">
        <v>223</v>
      </c>
      <c r="D322" s="3">
        <v>1</v>
      </c>
      <c r="J322" s="3" t="s">
        <v>77</v>
      </c>
      <c r="K322" s="3" t="s">
        <v>139</v>
      </c>
      <c r="T322" s="3" t="s">
        <v>64</v>
      </c>
      <c r="U322" s="3"/>
      <c r="V322" s="3"/>
      <c r="W322" s="3"/>
    </row>
    <row r="323" spans="1:23" ht="13" x14ac:dyDescent="0.15">
      <c r="A323" s="2">
        <v>45615.717402326394</v>
      </c>
      <c r="B323" s="3" t="s">
        <v>223</v>
      </c>
      <c r="D323" s="3">
        <v>2</v>
      </c>
      <c r="J323" s="3" t="s">
        <v>77</v>
      </c>
      <c r="K323" s="3" t="s">
        <v>151</v>
      </c>
      <c r="T323" s="3" t="s">
        <v>64</v>
      </c>
      <c r="U323" s="3"/>
      <c r="V323" s="3"/>
      <c r="W323" s="3"/>
    </row>
    <row r="324" spans="1:23" ht="13" x14ac:dyDescent="0.15">
      <c r="A324" s="2">
        <v>45615.717664224532</v>
      </c>
      <c r="B324" s="3" t="s">
        <v>223</v>
      </c>
      <c r="D324" s="3">
        <v>2</v>
      </c>
      <c r="J324" s="3" t="s">
        <v>77</v>
      </c>
      <c r="K324" s="3" t="s">
        <v>146</v>
      </c>
      <c r="T324" s="3" t="s">
        <v>64</v>
      </c>
      <c r="U324" s="3"/>
      <c r="V324" s="3"/>
      <c r="W324" s="3"/>
    </row>
    <row r="325" spans="1:23" ht="13" x14ac:dyDescent="0.15">
      <c r="A325" s="2">
        <v>45615.717904699079</v>
      </c>
      <c r="B325" s="3" t="s">
        <v>223</v>
      </c>
      <c r="D325" s="3">
        <v>2</v>
      </c>
      <c r="J325" s="3" t="s">
        <v>103</v>
      </c>
      <c r="K325" s="3" t="s">
        <v>138</v>
      </c>
      <c r="T325" s="3" t="s">
        <v>64</v>
      </c>
      <c r="U325" s="3"/>
      <c r="V325" s="3"/>
      <c r="W325" s="3"/>
    </row>
    <row r="326" spans="1:23" ht="13" x14ac:dyDescent="0.15">
      <c r="A326" s="2">
        <v>45615.718133958333</v>
      </c>
      <c r="B326" s="3" t="s">
        <v>223</v>
      </c>
      <c r="D326" s="3">
        <v>2</v>
      </c>
      <c r="J326" s="3" t="s">
        <v>77</v>
      </c>
      <c r="K326" s="3" t="s">
        <v>142</v>
      </c>
      <c r="T326" s="3" t="s">
        <v>64</v>
      </c>
      <c r="U326" s="3"/>
      <c r="V326" s="3"/>
      <c r="W326" s="3"/>
    </row>
    <row r="327" spans="1:23" ht="13" x14ac:dyDescent="0.15">
      <c r="A327" s="2">
        <v>45615.71831538195</v>
      </c>
      <c r="B327" s="3" t="s">
        <v>223</v>
      </c>
      <c r="D327" s="3">
        <v>1</v>
      </c>
      <c r="J327" s="3" t="s">
        <v>25</v>
      </c>
      <c r="K327" s="3" t="s">
        <v>26</v>
      </c>
      <c r="T327" s="3" t="s">
        <v>64</v>
      </c>
      <c r="U327" s="3"/>
      <c r="V327" s="3"/>
      <c r="W327" s="3"/>
    </row>
    <row r="328" spans="1:23" ht="13" x14ac:dyDescent="0.15">
      <c r="A328" s="2">
        <v>45615.718525972217</v>
      </c>
      <c r="B328" s="3" t="s">
        <v>223</v>
      </c>
      <c r="D328" s="3">
        <v>2</v>
      </c>
      <c r="J328" s="3" t="s">
        <v>25</v>
      </c>
      <c r="K328" s="3" t="s">
        <v>152</v>
      </c>
      <c r="T328" s="3" t="s">
        <v>64</v>
      </c>
      <c r="U328" s="3"/>
      <c r="V328" s="3"/>
      <c r="W328" s="3"/>
    </row>
    <row r="329" spans="1:23" ht="13" x14ac:dyDescent="0.15">
      <c r="A329" s="2">
        <v>45615.720186388891</v>
      </c>
      <c r="B329" s="3" t="s">
        <v>223</v>
      </c>
      <c r="D329" s="3">
        <v>1</v>
      </c>
      <c r="J329" s="3" t="s">
        <v>25</v>
      </c>
      <c r="K329" s="3" t="s">
        <v>140</v>
      </c>
      <c r="T329" s="3" t="s">
        <v>64</v>
      </c>
      <c r="U329" s="3"/>
      <c r="V329" s="3"/>
      <c r="W329" s="3"/>
    </row>
    <row r="330" spans="1:23" ht="13" x14ac:dyDescent="0.15">
      <c r="A330" s="2">
        <v>45615.720349791663</v>
      </c>
      <c r="B330" s="3" t="s">
        <v>223</v>
      </c>
      <c r="D330" s="3">
        <v>2</v>
      </c>
      <c r="J330" s="3" t="s">
        <v>77</v>
      </c>
      <c r="K330" s="3" t="s">
        <v>151</v>
      </c>
      <c r="T330" s="3" t="s">
        <v>64</v>
      </c>
      <c r="U330" s="3"/>
      <c r="V330" s="3"/>
      <c r="W330" s="3"/>
    </row>
    <row r="331" spans="1:23" ht="13" x14ac:dyDescent="0.15">
      <c r="A331" s="2">
        <v>45615.720871736106</v>
      </c>
      <c r="B331" s="3" t="s">
        <v>223</v>
      </c>
      <c r="D331" s="3">
        <v>2</v>
      </c>
      <c r="J331" s="3" t="s">
        <v>25</v>
      </c>
      <c r="K331" s="3" t="s">
        <v>138</v>
      </c>
      <c r="T331" s="3" t="s">
        <v>64</v>
      </c>
      <c r="U331" s="3"/>
      <c r="V331" s="3"/>
      <c r="W331" s="3"/>
    </row>
    <row r="332" spans="1:23" ht="13" x14ac:dyDescent="0.15">
      <c r="A332" s="2">
        <v>45615.721112037034</v>
      </c>
      <c r="B332" s="3" t="s">
        <v>223</v>
      </c>
      <c r="D332" s="3">
        <v>2</v>
      </c>
      <c r="J332" s="3" t="s">
        <v>77</v>
      </c>
      <c r="K332" s="3" t="s">
        <v>146</v>
      </c>
      <c r="T332" s="3" t="s">
        <v>64</v>
      </c>
      <c r="U332" s="3"/>
      <c r="V332" s="3"/>
      <c r="W332" s="3"/>
    </row>
    <row r="333" spans="1:23" ht="13" x14ac:dyDescent="0.15">
      <c r="A333" s="2">
        <v>45615.721314791663</v>
      </c>
      <c r="B333" s="3" t="s">
        <v>223</v>
      </c>
      <c r="D333" s="3">
        <v>2</v>
      </c>
      <c r="J333" s="3" t="s">
        <v>77</v>
      </c>
      <c r="K333" s="3" t="s">
        <v>142</v>
      </c>
      <c r="T333" s="3" t="s">
        <v>64</v>
      </c>
      <c r="U333" s="3"/>
      <c r="V333" s="3"/>
      <c r="W333" s="3"/>
    </row>
    <row r="334" spans="1:23" ht="13" x14ac:dyDescent="0.15">
      <c r="A334" s="2">
        <v>45615.721533506949</v>
      </c>
      <c r="B334" s="3" t="s">
        <v>223</v>
      </c>
      <c r="D334" s="3">
        <v>1</v>
      </c>
      <c r="J334" s="3" t="s">
        <v>25</v>
      </c>
      <c r="K334" s="3" t="s">
        <v>26</v>
      </c>
      <c r="T334" s="3" t="s">
        <v>64</v>
      </c>
      <c r="U334" s="3"/>
      <c r="V334" s="3"/>
      <c r="W334" s="3"/>
    </row>
    <row r="335" spans="1:23" ht="13" x14ac:dyDescent="0.15">
      <c r="A335" s="2">
        <v>45615.721745821764</v>
      </c>
      <c r="B335" s="3" t="s">
        <v>223</v>
      </c>
      <c r="D335" s="3">
        <v>2</v>
      </c>
      <c r="J335" s="3" t="s">
        <v>25</v>
      </c>
      <c r="K335" s="3" t="s">
        <v>152</v>
      </c>
      <c r="T335" s="3" t="s">
        <v>64</v>
      </c>
      <c r="U335" s="3"/>
      <c r="V335" s="3"/>
      <c r="W335" s="3"/>
    </row>
    <row r="336" spans="1:23" ht="13" x14ac:dyDescent="0.15">
      <c r="A336" s="2">
        <v>45615.723058275464</v>
      </c>
      <c r="B336" s="3" t="s">
        <v>223</v>
      </c>
      <c r="D336" s="3">
        <v>1</v>
      </c>
      <c r="J336" s="3" t="s">
        <v>77</v>
      </c>
      <c r="K336" s="3" t="s">
        <v>139</v>
      </c>
      <c r="T336" s="3" t="s">
        <v>64</v>
      </c>
      <c r="U336" s="3"/>
      <c r="V336" s="3"/>
      <c r="W336" s="3"/>
    </row>
    <row r="337" spans="1:23" ht="13" x14ac:dyDescent="0.15">
      <c r="A337" s="2">
        <v>45615.723377615737</v>
      </c>
      <c r="B337" s="3" t="s">
        <v>223</v>
      </c>
      <c r="D337" s="3">
        <v>2</v>
      </c>
      <c r="J337" s="3" t="s">
        <v>77</v>
      </c>
      <c r="K337" s="3" t="s">
        <v>151</v>
      </c>
      <c r="T337" s="3" t="s">
        <v>64</v>
      </c>
      <c r="U337" s="3"/>
      <c r="V337" s="3"/>
      <c r="W337" s="3"/>
    </row>
    <row r="338" spans="1:23" ht="13" x14ac:dyDescent="0.15">
      <c r="A338" s="2">
        <v>45615.723655972222</v>
      </c>
      <c r="B338" s="3" t="s">
        <v>223</v>
      </c>
      <c r="D338" s="3">
        <v>2</v>
      </c>
      <c r="J338" s="3" t="s">
        <v>25</v>
      </c>
      <c r="K338" s="3" t="s">
        <v>138</v>
      </c>
      <c r="T338" s="3" t="s">
        <v>64</v>
      </c>
      <c r="U338" s="3"/>
      <c r="V338" s="3"/>
      <c r="W338" s="3"/>
    </row>
    <row r="339" spans="1:23" ht="13" x14ac:dyDescent="0.15">
      <c r="A339" s="2">
        <v>45615.7238946875</v>
      </c>
      <c r="B339" s="3" t="s">
        <v>223</v>
      </c>
      <c r="D339" s="3">
        <v>2</v>
      </c>
      <c r="J339" s="3" t="s">
        <v>77</v>
      </c>
      <c r="K339" s="3" t="s">
        <v>146</v>
      </c>
      <c r="T339" s="3" t="s">
        <v>64</v>
      </c>
      <c r="U339" s="3"/>
      <c r="V339" s="3"/>
      <c r="W339" s="3"/>
    </row>
    <row r="340" spans="1:23" ht="13" x14ac:dyDescent="0.15">
      <c r="A340" s="2">
        <v>45615.72410457176</v>
      </c>
      <c r="B340" s="3" t="s">
        <v>223</v>
      </c>
      <c r="D340" s="3">
        <v>2</v>
      </c>
      <c r="J340" s="3" t="s">
        <v>77</v>
      </c>
      <c r="K340" s="3" t="s">
        <v>142</v>
      </c>
      <c r="T340" s="3" t="s">
        <v>64</v>
      </c>
      <c r="U340" s="3"/>
      <c r="V340" s="3"/>
      <c r="W340" s="3"/>
    </row>
    <row r="341" spans="1:23" ht="13" x14ac:dyDescent="0.15">
      <c r="A341" s="2">
        <v>45615.724533645829</v>
      </c>
      <c r="B341" s="3" t="s">
        <v>223</v>
      </c>
      <c r="D341" s="3">
        <v>1</v>
      </c>
      <c r="J341" s="3" t="s">
        <v>36</v>
      </c>
      <c r="K341" s="3" t="s">
        <v>140</v>
      </c>
      <c r="T341" s="3" t="s">
        <v>64</v>
      </c>
      <c r="U341" s="3"/>
      <c r="V341" s="3"/>
      <c r="W341" s="3"/>
    </row>
    <row r="342" spans="1:23" ht="13" x14ac:dyDescent="0.15">
      <c r="A342" s="2">
        <v>45615.724757233795</v>
      </c>
      <c r="B342" s="3" t="s">
        <v>223</v>
      </c>
      <c r="D342" s="3">
        <v>1</v>
      </c>
      <c r="J342" s="3" t="s">
        <v>25</v>
      </c>
      <c r="K342" s="3" t="s">
        <v>26</v>
      </c>
      <c r="T342" s="3" t="s">
        <v>64</v>
      </c>
      <c r="U342" s="3"/>
      <c r="V342" s="3"/>
      <c r="W342" s="3"/>
    </row>
    <row r="343" spans="1:23" ht="13" x14ac:dyDescent="0.15">
      <c r="A343" s="2">
        <v>45615.724947523151</v>
      </c>
      <c r="B343" s="3" t="s">
        <v>223</v>
      </c>
      <c r="D343" s="3">
        <v>2</v>
      </c>
      <c r="J343" s="3" t="s">
        <v>25</v>
      </c>
      <c r="K343" s="3" t="s">
        <v>152</v>
      </c>
      <c r="T343" s="3" t="s">
        <v>64</v>
      </c>
      <c r="U343" s="3"/>
      <c r="V343" s="3"/>
      <c r="W343" s="3"/>
    </row>
    <row r="344" spans="1:23" ht="13" x14ac:dyDescent="0.15">
      <c r="A344" s="2">
        <v>45615.725656296301</v>
      </c>
      <c r="B344" s="3" t="s">
        <v>223</v>
      </c>
      <c r="S344" s="3">
        <v>6</v>
      </c>
      <c r="T344" s="3" t="s">
        <v>64</v>
      </c>
      <c r="U344" s="3"/>
      <c r="V344" s="3"/>
      <c r="W344" s="3"/>
    </row>
    <row r="345" spans="1:23" ht="13" x14ac:dyDescent="0.15">
      <c r="A345" s="2">
        <v>45615.726549328705</v>
      </c>
      <c r="B345" s="3" t="s">
        <v>223</v>
      </c>
      <c r="D345" s="3">
        <v>3</v>
      </c>
      <c r="K345" s="3" t="s">
        <v>152</v>
      </c>
      <c r="P345" s="3" t="s">
        <v>28</v>
      </c>
      <c r="T345" s="3" t="s">
        <v>64</v>
      </c>
      <c r="U345" s="3"/>
      <c r="V345" s="3"/>
      <c r="W345" s="3"/>
    </row>
    <row r="346" spans="1:23" ht="13" x14ac:dyDescent="0.15">
      <c r="A346" s="2">
        <v>45615.727356550924</v>
      </c>
      <c r="B346" s="3" t="s">
        <v>223</v>
      </c>
      <c r="R346" s="3" t="s">
        <v>225</v>
      </c>
      <c r="T346" s="3" t="s">
        <v>64</v>
      </c>
      <c r="U346" s="3"/>
      <c r="V346" s="3"/>
      <c r="W346" s="3"/>
    </row>
    <row r="347" spans="1:23" ht="13" x14ac:dyDescent="0.15">
      <c r="A347" s="2">
        <v>45615.727561979162</v>
      </c>
      <c r="B347" s="3" t="s">
        <v>223</v>
      </c>
      <c r="R347" s="3" t="s">
        <v>226</v>
      </c>
      <c r="T347" s="3" t="s">
        <v>64</v>
      </c>
      <c r="U347" s="3"/>
      <c r="V347" s="3"/>
      <c r="W347" s="3"/>
    </row>
    <row r="348" spans="1:23" ht="13" x14ac:dyDescent="0.15">
      <c r="A348" s="2">
        <v>45615.727867037036</v>
      </c>
      <c r="B348" s="3" t="s">
        <v>223</v>
      </c>
      <c r="R348" s="3" t="s">
        <v>227</v>
      </c>
      <c r="T348" s="3" t="s">
        <v>64</v>
      </c>
      <c r="U348" s="3"/>
      <c r="V348" s="3"/>
      <c r="W348" s="3"/>
    </row>
    <row r="349" spans="1:23" ht="13" x14ac:dyDescent="0.15">
      <c r="A349" s="2">
        <v>45615.734003993057</v>
      </c>
      <c r="B349" s="3" t="s">
        <v>223</v>
      </c>
      <c r="H349" s="3">
        <v>7</v>
      </c>
      <c r="T349" s="3" t="s">
        <v>64</v>
      </c>
      <c r="U349" s="3"/>
      <c r="V349" s="3"/>
      <c r="W349" s="3"/>
    </row>
    <row r="350" spans="1:23" ht="13" x14ac:dyDescent="0.15">
      <c r="A350" s="2">
        <v>45616.54591108796</v>
      </c>
      <c r="B350" s="3" t="s">
        <v>69</v>
      </c>
      <c r="M350" s="3">
        <v>8</v>
      </c>
      <c r="T350" s="3" t="s">
        <v>54</v>
      </c>
      <c r="U350" s="3"/>
      <c r="V350" s="3"/>
      <c r="W350" s="3"/>
    </row>
    <row r="351" spans="1:23" ht="13" x14ac:dyDescent="0.15">
      <c r="A351" s="2">
        <v>45618.36864450232</v>
      </c>
      <c r="B351" s="3" t="s">
        <v>69</v>
      </c>
      <c r="D351" s="3">
        <v>4</v>
      </c>
      <c r="G351" s="3">
        <v>6</v>
      </c>
      <c r="H351" s="3">
        <v>1</v>
      </c>
      <c r="I351" s="3" t="s">
        <v>24</v>
      </c>
      <c r="J351" s="3" t="s">
        <v>77</v>
      </c>
      <c r="K351" s="3" t="s">
        <v>40</v>
      </c>
      <c r="P351" s="3" t="s">
        <v>153</v>
      </c>
      <c r="R351" s="3" t="s">
        <v>73</v>
      </c>
      <c r="T351" s="3" t="s">
        <v>54</v>
      </c>
      <c r="U351" s="3"/>
      <c r="V351" s="3"/>
      <c r="W351" s="3"/>
    </row>
    <row r="352" spans="1:23" ht="13" x14ac:dyDescent="0.15">
      <c r="A352" s="2">
        <v>45618.369739166665</v>
      </c>
      <c r="B352" s="3" t="s">
        <v>69</v>
      </c>
      <c r="D352" s="3">
        <v>2</v>
      </c>
      <c r="I352" s="3" t="s">
        <v>35</v>
      </c>
      <c r="J352" s="3" t="s">
        <v>70</v>
      </c>
      <c r="K352" s="3" t="s">
        <v>40</v>
      </c>
      <c r="P352" s="3" t="s">
        <v>153</v>
      </c>
      <c r="R352" s="3" t="s">
        <v>190</v>
      </c>
      <c r="T352" s="3" t="s">
        <v>54</v>
      </c>
      <c r="U352" s="3"/>
      <c r="V352" s="3"/>
      <c r="W352" s="3"/>
    </row>
    <row r="353" spans="1:23" ht="13" x14ac:dyDescent="0.15">
      <c r="A353" s="2">
        <v>45618.370175393517</v>
      </c>
      <c r="B353" s="3" t="s">
        <v>69</v>
      </c>
      <c r="R353" s="3" t="s">
        <v>228</v>
      </c>
      <c r="T353" s="3" t="s">
        <v>54</v>
      </c>
      <c r="U353" s="3"/>
      <c r="V353" s="3"/>
      <c r="W353" s="3"/>
    </row>
    <row r="354" spans="1:23" ht="13" x14ac:dyDescent="0.15">
      <c r="A354" s="2">
        <v>45618.370925868054</v>
      </c>
      <c r="B354" s="3" t="s">
        <v>69</v>
      </c>
      <c r="D354" s="3">
        <v>4</v>
      </c>
      <c r="I354" s="3" t="s">
        <v>24</v>
      </c>
      <c r="J354" s="3" t="s">
        <v>77</v>
      </c>
      <c r="K354" s="3" t="s">
        <v>40</v>
      </c>
      <c r="P354" s="3" t="s">
        <v>28</v>
      </c>
      <c r="Q354" s="3" t="s">
        <v>72</v>
      </c>
      <c r="R354" s="3" t="s">
        <v>89</v>
      </c>
      <c r="S354" s="3">
        <v>2</v>
      </c>
      <c r="T354" s="3" t="s">
        <v>54</v>
      </c>
      <c r="U354" s="3"/>
      <c r="V354" s="3"/>
      <c r="W354" s="3"/>
    </row>
    <row r="355" spans="1:23" ht="13" x14ac:dyDescent="0.15">
      <c r="A355" s="2">
        <v>45618.372829571759</v>
      </c>
      <c r="B355" s="3" t="s">
        <v>69</v>
      </c>
      <c r="Q355" s="3" t="s">
        <v>74</v>
      </c>
      <c r="S355" s="3">
        <v>1</v>
      </c>
      <c r="T355" s="3" t="s">
        <v>54</v>
      </c>
      <c r="U355" s="3"/>
      <c r="V355" s="3"/>
      <c r="W355" s="3"/>
    </row>
    <row r="356" spans="1:23" ht="13" x14ac:dyDescent="0.15">
      <c r="A356" s="2">
        <v>45618.37423858796</v>
      </c>
      <c r="B356" s="3" t="s">
        <v>69</v>
      </c>
      <c r="R356" s="3" t="s">
        <v>229</v>
      </c>
      <c r="T356" s="3" t="s">
        <v>54</v>
      </c>
      <c r="U356" s="3"/>
      <c r="V356" s="3"/>
      <c r="W356" s="3"/>
    </row>
    <row r="357" spans="1:23" ht="13" x14ac:dyDescent="0.15">
      <c r="A357" s="2">
        <v>45628.377515868051</v>
      </c>
      <c r="B357" s="3" t="s">
        <v>149</v>
      </c>
      <c r="D357" s="3">
        <v>4</v>
      </c>
      <c r="G357" s="3">
        <v>23</v>
      </c>
      <c r="H357" s="3">
        <v>3</v>
      </c>
      <c r="I357" s="3" t="s">
        <v>24</v>
      </c>
      <c r="J357" s="3" t="s">
        <v>77</v>
      </c>
      <c r="K357" s="3" t="s">
        <v>151</v>
      </c>
      <c r="R357" s="3" t="s">
        <v>216</v>
      </c>
      <c r="T357" s="3" t="s">
        <v>45</v>
      </c>
      <c r="U357" s="3"/>
      <c r="V357" s="3"/>
      <c r="W357" s="3"/>
    </row>
    <row r="358" spans="1:23" ht="13" x14ac:dyDescent="0.15">
      <c r="A358" s="2">
        <v>45628.377959178237</v>
      </c>
      <c r="B358" s="3" t="s">
        <v>149</v>
      </c>
      <c r="J358" s="3" t="s">
        <v>103</v>
      </c>
      <c r="K358" s="3" t="s">
        <v>66</v>
      </c>
      <c r="R358" s="3" t="s">
        <v>230</v>
      </c>
      <c r="T358" s="3" t="s">
        <v>45</v>
      </c>
      <c r="U358" s="3"/>
      <c r="V358" s="3"/>
      <c r="W358" s="3"/>
    </row>
    <row r="359" spans="1:23" ht="13" x14ac:dyDescent="0.15">
      <c r="A359" s="2">
        <v>45628.379092581017</v>
      </c>
      <c r="B359" s="3" t="s">
        <v>149</v>
      </c>
      <c r="D359" s="3">
        <v>4</v>
      </c>
      <c r="G359" s="3">
        <v>18</v>
      </c>
      <c r="H359" s="3">
        <v>3</v>
      </c>
      <c r="I359" s="3" t="s">
        <v>76</v>
      </c>
      <c r="J359" s="3" t="s">
        <v>77</v>
      </c>
      <c r="K359" s="3" t="s">
        <v>151</v>
      </c>
      <c r="M359" s="3">
        <v>8</v>
      </c>
      <c r="P359" s="3" t="s">
        <v>28</v>
      </c>
      <c r="R359" s="3" t="s">
        <v>30</v>
      </c>
      <c r="T359" s="3" t="s">
        <v>45</v>
      </c>
      <c r="U359" s="3"/>
      <c r="V359" s="3"/>
      <c r="W359" s="3"/>
    </row>
    <row r="360" spans="1:23" ht="13" x14ac:dyDescent="0.15">
      <c r="A360" s="2">
        <v>45628.397750266202</v>
      </c>
      <c r="B360" s="3" t="s">
        <v>174</v>
      </c>
      <c r="F360" s="7">
        <v>250</v>
      </c>
      <c r="L360" s="3" t="s">
        <v>175</v>
      </c>
      <c r="Q360" s="3" t="s">
        <v>177</v>
      </c>
      <c r="T360" s="3" t="s">
        <v>53</v>
      </c>
      <c r="U360" s="3"/>
      <c r="V360" s="3"/>
      <c r="W360" s="3"/>
    </row>
    <row r="361" spans="1:23" ht="13" x14ac:dyDescent="0.15">
      <c r="A361" s="2">
        <v>45628.398143020837</v>
      </c>
      <c r="B361" s="3" t="s">
        <v>174</v>
      </c>
      <c r="F361" s="9">
        <v>1500</v>
      </c>
      <c r="Q361" s="3" t="s">
        <v>231</v>
      </c>
      <c r="T361" s="3" t="s">
        <v>53</v>
      </c>
      <c r="U361" s="3"/>
      <c r="V361" s="3"/>
      <c r="W361" s="3"/>
    </row>
    <row r="362" spans="1:23" ht="13" x14ac:dyDescent="0.15">
      <c r="A362" s="2">
        <v>45628.398484872683</v>
      </c>
      <c r="B362" s="3" t="s">
        <v>174</v>
      </c>
      <c r="Q362" s="3" t="s">
        <v>232</v>
      </c>
      <c r="T362" s="3" t="s">
        <v>53</v>
      </c>
      <c r="U362" s="3"/>
      <c r="V362" s="3"/>
      <c r="W362" s="3"/>
    </row>
    <row r="363" spans="1:23" ht="13" x14ac:dyDescent="0.15">
      <c r="A363" s="2">
        <v>45628.398816342597</v>
      </c>
      <c r="B363" s="3" t="s">
        <v>174</v>
      </c>
      <c r="Q363" s="3" t="s">
        <v>233</v>
      </c>
      <c r="T363" s="3" t="s">
        <v>53</v>
      </c>
      <c r="U363" s="3"/>
      <c r="V363" s="3"/>
      <c r="W363" s="3"/>
    </row>
    <row r="364" spans="1:23" ht="13" x14ac:dyDescent="0.15">
      <c r="A364" s="2">
        <v>45628.402714004631</v>
      </c>
      <c r="B364" s="3" t="s">
        <v>174</v>
      </c>
      <c r="D364" s="3">
        <v>8</v>
      </c>
      <c r="I364" s="3" t="s">
        <v>24</v>
      </c>
      <c r="J364" s="3" t="s">
        <v>25</v>
      </c>
      <c r="K364" s="3" t="s">
        <v>78</v>
      </c>
      <c r="T364" s="3" t="s">
        <v>53</v>
      </c>
      <c r="U364" s="3"/>
      <c r="V364" s="3"/>
      <c r="W364" s="3"/>
    </row>
    <row r="365" spans="1:23" ht="13" x14ac:dyDescent="0.15">
      <c r="A365" s="2">
        <v>45628.403556331017</v>
      </c>
      <c r="B365" s="3" t="s">
        <v>174</v>
      </c>
      <c r="D365" s="3">
        <v>8</v>
      </c>
      <c r="I365" s="3" t="s">
        <v>76</v>
      </c>
      <c r="J365" s="3" t="s">
        <v>77</v>
      </c>
      <c r="K365" s="3" t="s">
        <v>41</v>
      </c>
      <c r="T365" s="3" t="s">
        <v>53</v>
      </c>
      <c r="U365" s="3"/>
      <c r="V365" s="3"/>
      <c r="W365" s="3"/>
    </row>
    <row r="366" spans="1:23" ht="13" x14ac:dyDescent="0.15">
      <c r="A366" s="2">
        <v>45628.404588807869</v>
      </c>
      <c r="B366" s="3" t="s">
        <v>174</v>
      </c>
      <c r="S366" s="3">
        <v>5</v>
      </c>
      <c r="T366" s="3" t="s">
        <v>53</v>
      </c>
      <c r="U366" s="3"/>
      <c r="V366" s="3"/>
      <c r="W366" s="3"/>
    </row>
    <row r="367" spans="1:23" ht="13" x14ac:dyDescent="0.15">
      <c r="A367" s="2">
        <v>45628.40541201389</v>
      </c>
      <c r="B367" s="3" t="s">
        <v>174</v>
      </c>
      <c r="H367" s="3">
        <v>35</v>
      </c>
      <c r="R367" s="3" t="s">
        <v>234</v>
      </c>
      <c r="T367" s="3" t="s">
        <v>53</v>
      </c>
      <c r="U367" s="3"/>
      <c r="V367" s="3"/>
      <c r="W367" s="3"/>
    </row>
    <row r="368" spans="1:23" ht="13" x14ac:dyDescent="0.15">
      <c r="A368" s="2">
        <v>45628.406096574079</v>
      </c>
      <c r="B368" s="3" t="s">
        <v>174</v>
      </c>
      <c r="L368" s="3" t="s">
        <v>71</v>
      </c>
      <c r="T368" s="3" t="s">
        <v>53</v>
      </c>
      <c r="U368" s="3"/>
      <c r="V368" s="3"/>
      <c r="W368" s="3"/>
    </row>
    <row r="369" spans="1:23" ht="13" x14ac:dyDescent="0.15">
      <c r="A369" s="2">
        <v>45628.406324224532</v>
      </c>
      <c r="B369" s="3" t="s">
        <v>174</v>
      </c>
      <c r="L369" s="3" t="s">
        <v>235</v>
      </c>
      <c r="T369" s="3" t="s">
        <v>53</v>
      </c>
      <c r="U369" s="3"/>
      <c r="V369" s="3"/>
      <c r="W369" s="3"/>
    </row>
    <row r="370" spans="1:23" ht="13" x14ac:dyDescent="0.15">
      <c r="A370" s="2">
        <v>45628.407309212962</v>
      </c>
      <c r="B370" s="3" t="s">
        <v>174</v>
      </c>
      <c r="D370" s="3">
        <v>1</v>
      </c>
      <c r="K370" s="3" t="s">
        <v>40</v>
      </c>
      <c r="S370" s="3">
        <v>2</v>
      </c>
      <c r="T370" s="3" t="s">
        <v>53</v>
      </c>
      <c r="U370" s="3"/>
      <c r="V370" s="3"/>
      <c r="W370" s="3"/>
    </row>
    <row r="371" spans="1:23" ht="13" x14ac:dyDescent="0.15">
      <c r="A371" s="2">
        <v>45628.416642488424</v>
      </c>
      <c r="B371" s="3" t="s">
        <v>79</v>
      </c>
      <c r="D371" s="3">
        <v>4</v>
      </c>
      <c r="J371" s="3" t="s">
        <v>77</v>
      </c>
      <c r="K371" s="3" t="s">
        <v>40</v>
      </c>
      <c r="Q371" s="3" t="s">
        <v>236</v>
      </c>
      <c r="S371" s="3">
        <v>1</v>
      </c>
      <c r="T371" s="3" t="s">
        <v>52</v>
      </c>
      <c r="U371" s="3"/>
      <c r="V371" s="3"/>
      <c r="W371" s="3"/>
    </row>
    <row r="372" spans="1:23" ht="13" x14ac:dyDescent="0.15">
      <c r="A372" s="2">
        <v>45628.417463124999</v>
      </c>
      <c r="B372" s="3" t="s">
        <v>79</v>
      </c>
      <c r="D372" s="3">
        <v>1</v>
      </c>
      <c r="G372" s="3">
        <v>7</v>
      </c>
      <c r="H372" s="3">
        <v>2</v>
      </c>
      <c r="K372" s="3" t="s">
        <v>83</v>
      </c>
      <c r="T372" s="3" t="s">
        <v>52</v>
      </c>
      <c r="U372" s="3"/>
      <c r="V372" s="3"/>
      <c r="W372" s="3"/>
    </row>
    <row r="373" spans="1:23" ht="13" x14ac:dyDescent="0.15">
      <c r="A373" s="2">
        <v>45628.44648716435</v>
      </c>
      <c r="B373" s="3" t="s">
        <v>91</v>
      </c>
      <c r="D373" s="3">
        <v>6</v>
      </c>
      <c r="G373" s="3">
        <v>12</v>
      </c>
      <c r="I373" s="3" t="s">
        <v>102</v>
      </c>
      <c r="K373" s="3" t="s">
        <v>101</v>
      </c>
      <c r="M373" s="3">
        <v>113</v>
      </c>
      <c r="Q373" s="3" t="s">
        <v>93</v>
      </c>
      <c r="T373" s="3" t="s">
        <v>33</v>
      </c>
      <c r="U373" s="3"/>
      <c r="V373" s="3"/>
      <c r="W373" s="3"/>
    </row>
    <row r="374" spans="1:23" ht="13" x14ac:dyDescent="0.15">
      <c r="A374" s="2">
        <v>45628.447671527778</v>
      </c>
      <c r="B374" s="3" t="s">
        <v>91</v>
      </c>
      <c r="D374" s="3">
        <v>4</v>
      </c>
      <c r="I374" s="3" t="s">
        <v>35</v>
      </c>
      <c r="J374" s="3" t="s">
        <v>36</v>
      </c>
      <c r="K374" s="3" t="s">
        <v>97</v>
      </c>
      <c r="Q374" s="3" t="s">
        <v>106</v>
      </c>
      <c r="T374" s="3" t="s">
        <v>33</v>
      </c>
      <c r="U374" s="3"/>
      <c r="V374" s="3"/>
      <c r="W374" s="3"/>
    </row>
    <row r="375" spans="1:23" ht="13" x14ac:dyDescent="0.15">
      <c r="A375" s="2">
        <v>45628.448815983793</v>
      </c>
      <c r="B375" s="3" t="s">
        <v>91</v>
      </c>
      <c r="D375" s="3">
        <v>16</v>
      </c>
      <c r="I375" s="3" t="s">
        <v>84</v>
      </c>
      <c r="J375" s="3" t="s">
        <v>77</v>
      </c>
      <c r="K375" s="3" t="s">
        <v>37</v>
      </c>
      <c r="Q375" s="3" t="s">
        <v>110</v>
      </c>
      <c r="T375" s="3" t="s">
        <v>33</v>
      </c>
      <c r="U375" s="3"/>
      <c r="V375" s="3"/>
      <c r="W375" s="3"/>
    </row>
    <row r="376" spans="1:23" ht="13" x14ac:dyDescent="0.15">
      <c r="A376" s="2">
        <v>45628.449332430551</v>
      </c>
      <c r="B376" s="3" t="s">
        <v>91</v>
      </c>
      <c r="D376" s="3">
        <v>1</v>
      </c>
      <c r="I376" s="3" t="s">
        <v>102</v>
      </c>
      <c r="J376" s="3" t="s">
        <v>237</v>
      </c>
      <c r="K376" s="3" t="s">
        <v>97</v>
      </c>
      <c r="T376" s="3" t="s">
        <v>33</v>
      </c>
      <c r="U376" s="3"/>
      <c r="V376" s="3"/>
      <c r="W376" s="3"/>
    </row>
    <row r="377" spans="1:23" ht="13" x14ac:dyDescent="0.15">
      <c r="A377" s="2">
        <v>45628.449607071758</v>
      </c>
      <c r="B377" s="3" t="s">
        <v>91</v>
      </c>
      <c r="D377" s="3">
        <v>1</v>
      </c>
      <c r="I377" s="3" t="s">
        <v>24</v>
      </c>
      <c r="J377" s="3" t="s">
        <v>237</v>
      </c>
      <c r="K377" s="3" t="s">
        <v>97</v>
      </c>
      <c r="T377" s="3" t="s">
        <v>33</v>
      </c>
      <c r="U377" s="3"/>
      <c r="V377" s="3"/>
      <c r="W377" s="3"/>
    </row>
    <row r="378" spans="1:23" ht="13" x14ac:dyDescent="0.15">
      <c r="A378" s="2">
        <v>45628.450008321757</v>
      </c>
      <c r="B378" s="3" t="s">
        <v>91</v>
      </c>
      <c r="D378" s="3">
        <v>5</v>
      </c>
      <c r="I378" s="3" t="s">
        <v>24</v>
      </c>
      <c r="J378" s="3" t="s">
        <v>25</v>
      </c>
      <c r="K378" s="3" t="s">
        <v>164</v>
      </c>
      <c r="T378" s="3" t="s">
        <v>33</v>
      </c>
      <c r="U378" s="3"/>
      <c r="V378" s="3"/>
      <c r="W378" s="3"/>
    </row>
    <row r="379" spans="1:23" ht="13" x14ac:dyDescent="0.15">
      <c r="A379" s="2">
        <v>45628.450505914356</v>
      </c>
      <c r="B379" s="3" t="s">
        <v>91</v>
      </c>
      <c r="D379" s="3">
        <v>2</v>
      </c>
      <c r="I379" s="3" t="s">
        <v>76</v>
      </c>
      <c r="J379" s="3" t="s">
        <v>25</v>
      </c>
      <c r="K379" s="3" t="s">
        <v>100</v>
      </c>
      <c r="T379" s="3" t="s">
        <v>33</v>
      </c>
      <c r="U379" s="3"/>
      <c r="V379" s="3"/>
      <c r="W379" s="3"/>
    </row>
    <row r="380" spans="1:23" ht="13" x14ac:dyDescent="0.15">
      <c r="A380" s="2">
        <v>45628.452216597223</v>
      </c>
      <c r="B380" s="3" t="s">
        <v>91</v>
      </c>
      <c r="D380" s="3">
        <v>1</v>
      </c>
      <c r="I380" s="3" t="s">
        <v>82</v>
      </c>
      <c r="J380" s="3" t="s">
        <v>65</v>
      </c>
      <c r="K380" s="3" t="s">
        <v>159</v>
      </c>
      <c r="T380" s="3" t="s">
        <v>33</v>
      </c>
      <c r="U380" s="3"/>
      <c r="V380" s="3"/>
      <c r="W380" s="3"/>
    </row>
    <row r="381" spans="1:23" ht="13" x14ac:dyDescent="0.15">
      <c r="A381" s="2">
        <v>45628.452749537042</v>
      </c>
      <c r="B381" s="3" t="s">
        <v>91</v>
      </c>
      <c r="D381" s="3">
        <v>2</v>
      </c>
      <c r="I381" s="3" t="s">
        <v>102</v>
      </c>
      <c r="J381" s="3" t="s">
        <v>25</v>
      </c>
      <c r="K381" s="3" t="s">
        <v>37</v>
      </c>
      <c r="T381" s="3" t="s">
        <v>33</v>
      </c>
      <c r="U381" s="3"/>
      <c r="V381" s="3"/>
      <c r="W381" s="3"/>
    </row>
    <row r="382" spans="1:23" ht="13" x14ac:dyDescent="0.15">
      <c r="A382" s="2">
        <v>45628.453415787037</v>
      </c>
      <c r="B382" s="3" t="s">
        <v>91</v>
      </c>
      <c r="D382" s="3">
        <v>1</v>
      </c>
      <c r="I382" s="3" t="s">
        <v>84</v>
      </c>
      <c r="J382" s="3" t="s">
        <v>104</v>
      </c>
      <c r="K382" s="3" t="s">
        <v>97</v>
      </c>
      <c r="T382" s="3" t="s">
        <v>33</v>
      </c>
      <c r="U382" s="3"/>
      <c r="V382" s="3"/>
      <c r="W382" s="3"/>
    </row>
    <row r="383" spans="1:23" ht="13" x14ac:dyDescent="0.15">
      <c r="A383" s="2">
        <v>45628.454058622687</v>
      </c>
      <c r="B383" s="3" t="s">
        <v>91</v>
      </c>
      <c r="D383" s="3">
        <v>49</v>
      </c>
      <c r="I383" s="3" t="s">
        <v>24</v>
      </c>
      <c r="J383" s="3" t="s">
        <v>25</v>
      </c>
      <c r="K383" s="3" t="s">
        <v>37</v>
      </c>
      <c r="T383" s="3" t="s">
        <v>33</v>
      </c>
      <c r="U383" s="3"/>
      <c r="V383" s="3"/>
      <c r="W383" s="3"/>
    </row>
    <row r="384" spans="1:23" ht="13" x14ac:dyDescent="0.15">
      <c r="A384" s="2">
        <v>45628.454822106476</v>
      </c>
      <c r="B384" s="3" t="s">
        <v>91</v>
      </c>
      <c r="D384" s="3">
        <v>12</v>
      </c>
      <c r="I384" s="3" t="s">
        <v>24</v>
      </c>
      <c r="J384" s="3" t="s">
        <v>77</v>
      </c>
      <c r="K384" s="3" t="s">
        <v>97</v>
      </c>
      <c r="T384" s="3" t="s">
        <v>33</v>
      </c>
      <c r="U384" s="3"/>
      <c r="V384" s="3"/>
      <c r="W384" s="3"/>
    </row>
    <row r="385" spans="1:23" ht="13" x14ac:dyDescent="0.15">
      <c r="A385" s="2">
        <v>45628.455215451388</v>
      </c>
      <c r="B385" s="3" t="s">
        <v>91</v>
      </c>
      <c r="D385" s="3">
        <v>10</v>
      </c>
      <c r="I385" s="3" t="s">
        <v>24</v>
      </c>
      <c r="J385" s="3" t="s">
        <v>77</v>
      </c>
      <c r="K385" s="3" t="s">
        <v>101</v>
      </c>
      <c r="T385" s="3" t="s">
        <v>33</v>
      </c>
      <c r="U385" s="3"/>
      <c r="V385" s="3"/>
      <c r="W385" s="3"/>
    </row>
    <row r="386" spans="1:23" ht="13" x14ac:dyDescent="0.15">
      <c r="A386" s="2">
        <v>45628.455528726852</v>
      </c>
      <c r="B386" s="3" t="s">
        <v>91</v>
      </c>
      <c r="D386" s="3">
        <v>5</v>
      </c>
      <c r="I386" s="3" t="s">
        <v>24</v>
      </c>
      <c r="J386" s="3" t="s">
        <v>103</v>
      </c>
      <c r="K386" s="3" t="s">
        <v>101</v>
      </c>
      <c r="T386" s="3" t="s">
        <v>33</v>
      </c>
      <c r="U386" s="3"/>
      <c r="V386" s="3"/>
      <c r="W386" s="3"/>
    </row>
    <row r="387" spans="1:23" ht="13" x14ac:dyDescent="0.15">
      <c r="A387" s="2">
        <v>45628.666767962961</v>
      </c>
      <c r="B387" s="3" t="s">
        <v>238</v>
      </c>
      <c r="D387" s="3">
        <v>33</v>
      </c>
      <c r="F387" s="3">
        <v>600</v>
      </c>
      <c r="G387" s="3">
        <v>12</v>
      </c>
      <c r="H387" s="3">
        <v>71</v>
      </c>
      <c r="I387" s="3" t="s">
        <v>24</v>
      </c>
      <c r="J387" s="3" t="s">
        <v>25</v>
      </c>
      <c r="K387" s="3" t="s">
        <v>140</v>
      </c>
      <c r="L387" s="3" t="s">
        <v>239</v>
      </c>
      <c r="M387" s="3">
        <v>103</v>
      </c>
      <c r="P387" s="3" t="s">
        <v>28</v>
      </c>
      <c r="Q387" s="3">
        <v>1</v>
      </c>
      <c r="R387" s="3">
        <v>0</v>
      </c>
      <c r="S387" s="3">
        <v>5</v>
      </c>
      <c r="T387" s="3" t="s">
        <v>42</v>
      </c>
      <c r="U387" s="3"/>
      <c r="V387" s="3"/>
      <c r="W387" s="3"/>
    </row>
    <row r="388" spans="1:23" ht="13" x14ac:dyDescent="0.15">
      <c r="A388" s="2">
        <v>45629.443151701387</v>
      </c>
      <c r="B388" s="3" t="s">
        <v>47</v>
      </c>
      <c r="D388" s="3">
        <v>2</v>
      </c>
      <c r="G388" s="3">
        <v>2</v>
      </c>
      <c r="H388" s="3">
        <v>20</v>
      </c>
      <c r="J388" s="3" t="s">
        <v>103</v>
      </c>
      <c r="K388" s="3" t="s">
        <v>97</v>
      </c>
      <c r="Q388" s="3" t="s">
        <v>240</v>
      </c>
      <c r="R388" s="3" t="s">
        <v>73</v>
      </c>
      <c r="T388" s="3" t="s">
        <v>50</v>
      </c>
      <c r="U388" s="3"/>
      <c r="V388" s="3"/>
      <c r="W388" s="3"/>
    </row>
    <row r="389" spans="1:23" ht="13" x14ac:dyDescent="0.15">
      <c r="A389" s="2">
        <v>45629.443509988429</v>
      </c>
      <c r="B389" s="3" t="s">
        <v>47</v>
      </c>
      <c r="D389" s="3">
        <v>2</v>
      </c>
      <c r="I389" s="3" t="s">
        <v>24</v>
      </c>
      <c r="J389" s="3" t="s">
        <v>103</v>
      </c>
      <c r="K389" s="3" t="s">
        <v>101</v>
      </c>
      <c r="T389" s="3" t="s">
        <v>50</v>
      </c>
      <c r="U389" s="3"/>
      <c r="V389" s="3"/>
      <c r="W389" s="3"/>
    </row>
    <row r="390" spans="1:23" ht="13" x14ac:dyDescent="0.15">
      <c r="A390" s="2">
        <v>45629.443796516207</v>
      </c>
      <c r="B390" s="3" t="s">
        <v>47</v>
      </c>
      <c r="D390" s="3">
        <v>3</v>
      </c>
      <c r="I390" s="3" t="s">
        <v>76</v>
      </c>
      <c r="J390" s="3" t="s">
        <v>70</v>
      </c>
      <c r="K390" s="3" t="s">
        <v>97</v>
      </c>
      <c r="T390" s="3" t="s">
        <v>50</v>
      </c>
      <c r="U390" s="3"/>
      <c r="V390" s="3"/>
      <c r="W390" s="3"/>
    </row>
    <row r="391" spans="1:23" ht="13" x14ac:dyDescent="0.15">
      <c r="A391" s="2">
        <v>45630.4940866088</v>
      </c>
      <c r="B391" s="3" t="s">
        <v>241</v>
      </c>
      <c r="D391" s="3">
        <v>11</v>
      </c>
      <c r="F391" s="7">
        <v>3000</v>
      </c>
      <c r="G391" s="3">
        <v>115</v>
      </c>
      <c r="H391" s="3">
        <v>139</v>
      </c>
      <c r="I391" s="3" t="s">
        <v>24</v>
      </c>
      <c r="J391" s="3" t="s">
        <v>77</v>
      </c>
      <c r="K391" s="3" t="s">
        <v>151</v>
      </c>
      <c r="L391" s="3" t="s">
        <v>242</v>
      </c>
      <c r="M391" s="3">
        <v>53</v>
      </c>
      <c r="P391" s="3" t="s">
        <v>153</v>
      </c>
      <c r="Q391" s="3" t="s">
        <v>243</v>
      </c>
      <c r="R391" s="3" t="s">
        <v>244</v>
      </c>
      <c r="S391" s="3">
        <v>3</v>
      </c>
      <c r="T391" s="3" t="s">
        <v>63</v>
      </c>
      <c r="U391" s="3"/>
      <c r="V391" s="3"/>
      <c r="W391" s="3"/>
    </row>
    <row r="392" spans="1:23" ht="13" x14ac:dyDescent="0.15">
      <c r="A392" s="2">
        <v>45635.378705833333</v>
      </c>
      <c r="B392" s="3" t="s">
        <v>69</v>
      </c>
      <c r="D392" s="3">
        <v>24</v>
      </c>
      <c r="I392" s="3" t="s">
        <v>24</v>
      </c>
      <c r="J392" s="3" t="s">
        <v>77</v>
      </c>
      <c r="K392" s="3" t="s">
        <v>40</v>
      </c>
      <c r="Q392" s="3" t="s">
        <v>74</v>
      </c>
      <c r="R392" s="3" t="s">
        <v>229</v>
      </c>
      <c r="S392" s="3">
        <v>1</v>
      </c>
      <c r="T392" s="3" t="s">
        <v>54</v>
      </c>
      <c r="U392" s="3"/>
      <c r="V392" s="3"/>
      <c r="W392" s="3"/>
    </row>
    <row r="393" spans="1:23" ht="13" x14ac:dyDescent="0.15">
      <c r="A393" s="2">
        <v>45635.379186458333</v>
      </c>
      <c r="B393" s="3" t="s">
        <v>69</v>
      </c>
      <c r="D393" s="3">
        <v>1</v>
      </c>
      <c r="I393" s="3" t="s">
        <v>84</v>
      </c>
      <c r="J393" s="3" t="s">
        <v>25</v>
      </c>
      <c r="K393" s="3" t="s">
        <v>40</v>
      </c>
      <c r="T393" s="3" t="s">
        <v>54</v>
      </c>
      <c r="U393" s="3"/>
      <c r="V393" s="3"/>
      <c r="W393" s="3"/>
    </row>
    <row r="394" spans="1:23" ht="13" x14ac:dyDescent="0.15">
      <c r="A394" s="2">
        <v>45635.418188449075</v>
      </c>
      <c r="B394" s="3" t="s">
        <v>245</v>
      </c>
      <c r="D394" s="3">
        <v>138</v>
      </c>
      <c r="F394" s="3">
        <v>1500</v>
      </c>
      <c r="G394" s="3">
        <v>10</v>
      </c>
      <c r="H394" s="3">
        <v>15</v>
      </c>
      <c r="I394" s="3" t="s">
        <v>24</v>
      </c>
      <c r="J394" s="3" t="s">
        <v>25</v>
      </c>
      <c r="K394" s="3" t="s">
        <v>26</v>
      </c>
      <c r="L394" s="3" t="s">
        <v>246</v>
      </c>
      <c r="M394" s="3">
        <v>10</v>
      </c>
      <c r="P394" s="3" t="s">
        <v>247</v>
      </c>
      <c r="Q394" s="3">
        <v>2</v>
      </c>
      <c r="R394" s="3" t="s">
        <v>201</v>
      </c>
      <c r="S394" s="3">
        <v>3</v>
      </c>
      <c r="T394" s="3" t="s">
        <v>43</v>
      </c>
      <c r="U394" s="3"/>
      <c r="V394" s="3"/>
      <c r="W394" s="3"/>
    </row>
    <row r="395" spans="1:23" ht="13" x14ac:dyDescent="0.15">
      <c r="A395" s="2">
        <v>45635.419196631949</v>
      </c>
      <c r="B395" s="3" t="s">
        <v>245</v>
      </c>
      <c r="I395" s="3" t="s">
        <v>82</v>
      </c>
      <c r="J395" s="3" t="s">
        <v>77</v>
      </c>
      <c r="K395" s="3" t="s">
        <v>140</v>
      </c>
      <c r="T395" s="3" t="s">
        <v>43</v>
      </c>
      <c r="U395" s="3"/>
      <c r="V395" s="3"/>
      <c r="W395" s="3"/>
    </row>
    <row r="396" spans="1:23" ht="13" x14ac:dyDescent="0.15">
      <c r="A396" s="2">
        <v>45635.419453912036</v>
      </c>
      <c r="B396" s="3" t="s">
        <v>245</v>
      </c>
      <c r="K396" s="3" t="s">
        <v>139</v>
      </c>
      <c r="T396" s="3" t="s">
        <v>43</v>
      </c>
      <c r="U396" s="3"/>
      <c r="V396" s="3"/>
      <c r="W396" s="3"/>
    </row>
    <row r="397" spans="1:23" ht="13" x14ac:dyDescent="0.15">
      <c r="A397" s="2">
        <v>45635.419647280098</v>
      </c>
      <c r="B397" s="3" t="s">
        <v>245</v>
      </c>
      <c r="K397" s="3" t="s">
        <v>138</v>
      </c>
      <c r="T397" s="3" t="s">
        <v>43</v>
      </c>
      <c r="U397" s="3"/>
      <c r="V397" s="3"/>
      <c r="W397" s="3"/>
    </row>
    <row r="398" spans="1:23" ht="13" x14ac:dyDescent="0.15">
      <c r="A398" s="2">
        <v>45635.419778518517</v>
      </c>
      <c r="B398" s="3" t="s">
        <v>245</v>
      </c>
      <c r="K398" s="3" t="s">
        <v>146</v>
      </c>
      <c r="T398" s="3" t="s">
        <v>43</v>
      </c>
      <c r="U398" s="3"/>
      <c r="V398" s="3"/>
      <c r="W398" s="3"/>
    </row>
    <row r="399" spans="1:23" ht="13" x14ac:dyDescent="0.15">
      <c r="A399" s="2">
        <v>45635.420096099537</v>
      </c>
      <c r="B399" s="3" t="s">
        <v>245</v>
      </c>
      <c r="K399" s="3" t="s">
        <v>151</v>
      </c>
      <c r="T399" s="3" t="s">
        <v>43</v>
      </c>
      <c r="U399" s="3"/>
      <c r="V399" s="3"/>
      <c r="W399" s="3"/>
    </row>
    <row r="400" spans="1:23" ht="13" x14ac:dyDescent="0.15">
      <c r="A400" s="2">
        <v>45635.420833263888</v>
      </c>
      <c r="B400" s="3" t="s">
        <v>245</v>
      </c>
      <c r="H400" s="3">
        <v>30</v>
      </c>
      <c r="K400" s="3" t="s">
        <v>142</v>
      </c>
      <c r="T400" s="3" t="s">
        <v>43</v>
      </c>
      <c r="U400" s="3"/>
      <c r="V400" s="3"/>
      <c r="W400" s="3"/>
    </row>
    <row r="401" spans="1:23" ht="13" x14ac:dyDescent="0.15">
      <c r="A401" s="2">
        <v>45636.392362141203</v>
      </c>
      <c r="B401" s="3" t="s">
        <v>174</v>
      </c>
      <c r="G401" s="3">
        <v>45</v>
      </c>
      <c r="T401" s="3" t="s">
        <v>53</v>
      </c>
      <c r="U401" s="3"/>
      <c r="V401" s="3"/>
      <c r="W401" s="3"/>
    </row>
    <row r="402" spans="1:23" ht="13" x14ac:dyDescent="0.15">
      <c r="A402" s="2">
        <v>45636.407050821756</v>
      </c>
      <c r="B402" s="3" t="s">
        <v>174</v>
      </c>
      <c r="G402" s="3">
        <v>92</v>
      </c>
      <c r="T402" s="3" t="s">
        <v>53</v>
      </c>
      <c r="U402" s="3"/>
      <c r="V402" s="3"/>
      <c r="W402" s="3"/>
    </row>
    <row r="403" spans="1:23" ht="13" x14ac:dyDescent="0.15">
      <c r="A403" s="2">
        <v>45636.408128460651</v>
      </c>
      <c r="B403" s="3" t="s">
        <v>174</v>
      </c>
      <c r="L403" s="3" t="s">
        <v>248</v>
      </c>
      <c r="T403" s="3" t="s">
        <v>53</v>
      </c>
      <c r="U403" s="3"/>
      <c r="V403" s="3"/>
      <c r="W403" s="3"/>
    </row>
    <row r="404" spans="1:23" ht="13" x14ac:dyDescent="0.15">
      <c r="A404" s="2">
        <v>45636.414374768516</v>
      </c>
      <c r="B404" s="3" t="s">
        <v>174</v>
      </c>
      <c r="H404" s="3">
        <v>5</v>
      </c>
      <c r="T404" s="3" t="s">
        <v>53</v>
      </c>
      <c r="U404" s="3"/>
      <c r="V404" s="3"/>
      <c r="W404" s="3"/>
    </row>
    <row r="405" spans="1:23" ht="13" x14ac:dyDescent="0.15">
      <c r="A405" s="2">
        <v>45636.416395555556</v>
      </c>
      <c r="B405" s="3" t="s">
        <v>174</v>
      </c>
      <c r="D405" s="3">
        <v>10</v>
      </c>
      <c r="I405" s="3" t="s">
        <v>35</v>
      </c>
      <c r="J405" s="3" t="s">
        <v>25</v>
      </c>
      <c r="K405" s="3" t="s">
        <v>83</v>
      </c>
      <c r="T405" s="3" t="s">
        <v>53</v>
      </c>
      <c r="U405" s="3"/>
      <c r="V405" s="3"/>
      <c r="W405" s="3"/>
    </row>
    <row r="406" spans="1:23" ht="13" x14ac:dyDescent="0.15">
      <c r="A406" s="2">
        <v>45636.418108923608</v>
      </c>
      <c r="B406" s="3" t="s">
        <v>174</v>
      </c>
      <c r="R406" s="3" t="s">
        <v>229</v>
      </c>
      <c r="T406" s="3" t="s">
        <v>53</v>
      </c>
      <c r="U406" s="3"/>
      <c r="V406" s="3"/>
      <c r="W406" s="3"/>
    </row>
    <row r="407" spans="1:23" ht="13" x14ac:dyDescent="0.15">
      <c r="A407" s="2">
        <v>45636.428221261573</v>
      </c>
      <c r="B407" s="3" t="s">
        <v>174</v>
      </c>
      <c r="Q407" s="3" t="s">
        <v>231</v>
      </c>
      <c r="T407" s="3" t="s">
        <v>53</v>
      </c>
      <c r="U407" s="3"/>
      <c r="V407" s="3"/>
      <c r="W407" s="3"/>
    </row>
    <row r="408" spans="1:23" ht="13" x14ac:dyDescent="0.15">
      <c r="A408" s="2">
        <v>45636.428627731482</v>
      </c>
      <c r="B408" s="3" t="s">
        <v>174</v>
      </c>
      <c r="Q408" s="3" t="s">
        <v>232</v>
      </c>
      <c r="T408" s="3" t="s">
        <v>53</v>
      </c>
      <c r="U408" s="3"/>
      <c r="V408" s="3"/>
      <c r="W408" s="3"/>
    </row>
    <row r="409" spans="1:23" ht="13" x14ac:dyDescent="0.15">
      <c r="A409" s="2">
        <v>45636.494618310186</v>
      </c>
      <c r="B409" s="3" t="s">
        <v>123</v>
      </c>
      <c r="D409" s="3" t="s">
        <v>249</v>
      </c>
      <c r="F409" s="7">
        <v>3000</v>
      </c>
      <c r="G409" s="3" t="s">
        <v>250</v>
      </c>
      <c r="H409" s="3" t="s">
        <v>251</v>
      </c>
      <c r="I409" s="3" t="s">
        <v>84</v>
      </c>
      <c r="J409" s="3" t="s">
        <v>103</v>
      </c>
      <c r="K409" s="3" t="s">
        <v>140</v>
      </c>
      <c r="L409" s="3" t="s">
        <v>80</v>
      </c>
      <c r="M409" s="3">
        <v>168</v>
      </c>
      <c r="P409" s="3" t="s">
        <v>28</v>
      </c>
      <c r="R409" s="3" t="s">
        <v>252</v>
      </c>
      <c r="S409" s="3">
        <v>7</v>
      </c>
      <c r="T409" s="3" t="s">
        <v>55</v>
      </c>
      <c r="U409" s="3"/>
      <c r="V409" s="3"/>
      <c r="W409" s="3"/>
    </row>
    <row r="410" spans="1:23" ht="13" x14ac:dyDescent="0.15">
      <c r="A410" s="2">
        <v>45636.494889953705</v>
      </c>
      <c r="B410" s="3" t="s">
        <v>123</v>
      </c>
      <c r="Q410" s="3" t="s">
        <v>253</v>
      </c>
      <c r="T410" s="3" t="s">
        <v>55</v>
      </c>
      <c r="U410" s="3"/>
      <c r="V410" s="3"/>
      <c r="W410" s="3"/>
    </row>
    <row r="411" spans="1:23" ht="13" x14ac:dyDescent="0.15">
      <c r="A411" s="2">
        <v>45636.495145034722</v>
      </c>
      <c r="B411" s="3" t="s">
        <v>123</v>
      </c>
      <c r="Q411" s="3" t="s">
        <v>129</v>
      </c>
      <c r="T411" s="3" t="s">
        <v>55</v>
      </c>
      <c r="U411" s="3"/>
      <c r="V411" s="3"/>
      <c r="W411" s="3"/>
    </row>
    <row r="412" spans="1:23" ht="13" x14ac:dyDescent="0.15">
      <c r="A412" s="2">
        <v>45636.495320613423</v>
      </c>
      <c r="B412" s="3" t="s">
        <v>123</v>
      </c>
      <c r="Q412" s="3" t="s">
        <v>130</v>
      </c>
      <c r="T412" s="3" t="s">
        <v>55</v>
      </c>
      <c r="U412" s="3"/>
      <c r="V412" s="3"/>
      <c r="W412" s="3"/>
    </row>
    <row r="413" spans="1:23" ht="13" x14ac:dyDescent="0.15">
      <c r="A413" s="2">
        <v>45636.495514525464</v>
      </c>
      <c r="B413" s="3" t="s">
        <v>123</v>
      </c>
      <c r="Q413" s="3" t="s">
        <v>254</v>
      </c>
      <c r="T413" s="3" t="s">
        <v>55</v>
      </c>
      <c r="U413" s="3"/>
      <c r="V413" s="3"/>
      <c r="W413" s="3"/>
    </row>
    <row r="414" spans="1:23" ht="13" x14ac:dyDescent="0.15">
      <c r="A414" s="2">
        <v>45636.54292821759</v>
      </c>
      <c r="B414" s="3" t="s">
        <v>223</v>
      </c>
      <c r="D414" s="3">
        <v>2</v>
      </c>
      <c r="J414" s="3" t="s">
        <v>103</v>
      </c>
      <c r="K414" s="3" t="s">
        <v>138</v>
      </c>
      <c r="T414" s="3" t="s">
        <v>64</v>
      </c>
      <c r="U414" s="3"/>
      <c r="V414" s="3"/>
      <c r="W414" s="3"/>
    </row>
    <row r="415" spans="1:23" ht="13" x14ac:dyDescent="0.15">
      <c r="A415" s="2">
        <v>45636.543587835651</v>
      </c>
      <c r="B415" s="3" t="s">
        <v>223</v>
      </c>
      <c r="D415" s="3">
        <v>2</v>
      </c>
      <c r="J415" s="3" t="s">
        <v>77</v>
      </c>
      <c r="K415" s="3" t="s">
        <v>146</v>
      </c>
      <c r="T415" s="3" t="s">
        <v>64</v>
      </c>
      <c r="U415" s="3"/>
      <c r="V415" s="3"/>
      <c r="W415" s="3"/>
    </row>
    <row r="416" spans="1:23" ht="13" x14ac:dyDescent="0.15">
      <c r="A416" s="2">
        <v>45636.543866759261</v>
      </c>
      <c r="B416" s="3" t="s">
        <v>223</v>
      </c>
      <c r="D416" s="3">
        <v>2</v>
      </c>
      <c r="J416" s="3" t="s">
        <v>77</v>
      </c>
      <c r="K416" s="3" t="s">
        <v>142</v>
      </c>
      <c r="T416" s="3" t="s">
        <v>64</v>
      </c>
      <c r="U416" s="3"/>
      <c r="V416" s="3"/>
      <c r="W416" s="3"/>
    </row>
    <row r="417" spans="1:23" ht="13" x14ac:dyDescent="0.15">
      <c r="A417" s="2">
        <v>45636.544155150463</v>
      </c>
      <c r="B417" s="3" t="s">
        <v>223</v>
      </c>
      <c r="D417" s="3">
        <v>2</v>
      </c>
      <c r="J417" s="3" t="s">
        <v>77</v>
      </c>
      <c r="K417" s="3" t="s">
        <v>151</v>
      </c>
      <c r="T417" s="3" t="s">
        <v>64</v>
      </c>
      <c r="U417" s="3"/>
      <c r="V417" s="3"/>
      <c r="W417" s="3"/>
    </row>
    <row r="418" spans="1:23" ht="13" x14ac:dyDescent="0.15">
      <c r="A418" s="2">
        <v>45636.544474386574</v>
      </c>
      <c r="B418" s="3" t="s">
        <v>223</v>
      </c>
      <c r="D418" s="3">
        <v>1</v>
      </c>
      <c r="J418" s="3" t="s">
        <v>77</v>
      </c>
      <c r="K418" s="3" t="s">
        <v>139</v>
      </c>
      <c r="T418" s="3" t="s">
        <v>64</v>
      </c>
      <c r="U418" s="3"/>
      <c r="V418" s="3"/>
      <c r="W418" s="3"/>
    </row>
    <row r="419" spans="1:23" ht="13" x14ac:dyDescent="0.15">
      <c r="A419" s="2">
        <v>45636.544707824076</v>
      </c>
      <c r="B419" s="3" t="s">
        <v>223</v>
      </c>
      <c r="D419" s="3">
        <v>1</v>
      </c>
      <c r="J419" s="3" t="s">
        <v>25</v>
      </c>
      <c r="K419" s="3" t="s">
        <v>26</v>
      </c>
      <c r="T419" s="3" t="s">
        <v>64</v>
      </c>
      <c r="U419" s="3"/>
      <c r="V419" s="3"/>
      <c r="W419" s="3"/>
    </row>
    <row r="420" spans="1:23" ht="13" x14ac:dyDescent="0.15">
      <c r="A420" s="2">
        <v>45636.545109780098</v>
      </c>
      <c r="B420" s="3" t="s">
        <v>223</v>
      </c>
      <c r="D420" s="3">
        <v>2</v>
      </c>
      <c r="J420" s="3" t="s">
        <v>25</v>
      </c>
      <c r="K420" s="3" t="s">
        <v>66</v>
      </c>
      <c r="T420" s="3" t="s">
        <v>64</v>
      </c>
      <c r="U420" s="3"/>
      <c r="V420" s="3"/>
      <c r="W420" s="3"/>
    </row>
    <row r="421" spans="1:23" ht="13" x14ac:dyDescent="0.15">
      <c r="A421" s="2">
        <v>45636.545451597223</v>
      </c>
      <c r="B421" s="3" t="s">
        <v>223</v>
      </c>
      <c r="D421" s="3">
        <v>1</v>
      </c>
      <c r="J421" s="3" t="s">
        <v>70</v>
      </c>
      <c r="K421" s="3" t="s">
        <v>140</v>
      </c>
      <c r="T421" s="3" t="s">
        <v>64</v>
      </c>
      <c r="U421" s="3"/>
      <c r="V421" s="3"/>
      <c r="W421" s="3"/>
    </row>
    <row r="422" spans="1:23" ht="13" x14ac:dyDescent="0.15">
      <c r="A422" s="2">
        <v>45636.546158599536</v>
      </c>
      <c r="B422" s="3" t="s">
        <v>223</v>
      </c>
      <c r="D422" s="3">
        <v>1</v>
      </c>
      <c r="J422" s="3" t="s">
        <v>103</v>
      </c>
      <c r="K422" s="3" t="s">
        <v>140</v>
      </c>
      <c r="T422" s="3" t="s">
        <v>64</v>
      </c>
      <c r="U422" s="3"/>
      <c r="V422" s="3"/>
      <c r="W422" s="3"/>
    </row>
    <row r="423" spans="1:23" ht="13" x14ac:dyDescent="0.15">
      <c r="A423" s="2">
        <v>45636.546432962961</v>
      </c>
      <c r="B423" s="3" t="s">
        <v>223</v>
      </c>
      <c r="D423" s="3">
        <v>1</v>
      </c>
      <c r="J423" s="3" t="s">
        <v>103</v>
      </c>
      <c r="K423" s="3" t="s">
        <v>139</v>
      </c>
      <c r="T423" s="3" t="s">
        <v>64</v>
      </c>
      <c r="U423" s="3"/>
      <c r="V423" s="3"/>
      <c r="W423" s="3"/>
    </row>
    <row r="424" spans="1:23" ht="13" x14ac:dyDescent="0.15">
      <c r="A424" s="2">
        <v>45636.546700335646</v>
      </c>
      <c r="B424" s="3" t="s">
        <v>223</v>
      </c>
      <c r="D424" s="3">
        <v>2</v>
      </c>
      <c r="J424" s="3" t="s">
        <v>103</v>
      </c>
      <c r="K424" s="3" t="s">
        <v>151</v>
      </c>
      <c r="T424" s="3" t="s">
        <v>64</v>
      </c>
      <c r="U424" s="3"/>
      <c r="V424" s="3"/>
      <c r="W424" s="3"/>
    </row>
    <row r="425" spans="1:23" ht="13" x14ac:dyDescent="0.15">
      <c r="A425" s="2">
        <v>45636.546949502314</v>
      </c>
      <c r="B425" s="3" t="s">
        <v>223</v>
      </c>
      <c r="D425" s="3">
        <v>2</v>
      </c>
      <c r="J425" s="3" t="s">
        <v>103</v>
      </c>
      <c r="K425" s="3" t="s">
        <v>138</v>
      </c>
      <c r="T425" s="3" t="s">
        <v>64</v>
      </c>
      <c r="U425" s="3"/>
      <c r="V425" s="3"/>
      <c r="W425" s="3"/>
    </row>
    <row r="426" spans="1:23" ht="13" x14ac:dyDescent="0.15">
      <c r="A426" s="2">
        <v>45636.547234548612</v>
      </c>
      <c r="B426" s="3" t="s">
        <v>223</v>
      </c>
      <c r="D426" s="3">
        <v>2</v>
      </c>
      <c r="J426" s="3" t="s">
        <v>103</v>
      </c>
      <c r="K426" s="3" t="s">
        <v>146</v>
      </c>
      <c r="T426" s="3" t="s">
        <v>64</v>
      </c>
      <c r="U426" s="3"/>
      <c r="V426" s="3"/>
      <c r="W426" s="3"/>
    </row>
    <row r="427" spans="1:23" ht="13" x14ac:dyDescent="0.15">
      <c r="A427" s="2">
        <v>45636.54748061343</v>
      </c>
      <c r="B427" s="3" t="s">
        <v>223</v>
      </c>
      <c r="D427" s="3">
        <v>2</v>
      </c>
      <c r="J427" s="3" t="s">
        <v>103</v>
      </c>
      <c r="K427" s="3" t="s">
        <v>142</v>
      </c>
      <c r="T427" s="3" t="s">
        <v>64</v>
      </c>
      <c r="U427" s="3"/>
      <c r="V427" s="3"/>
      <c r="W427" s="3"/>
    </row>
    <row r="428" spans="1:23" ht="13" x14ac:dyDescent="0.15">
      <c r="A428" s="2">
        <v>45636.547797870371</v>
      </c>
      <c r="B428" s="3" t="s">
        <v>223</v>
      </c>
      <c r="D428" s="3">
        <v>1</v>
      </c>
      <c r="J428" s="3" t="s">
        <v>25</v>
      </c>
      <c r="K428" s="3" t="s">
        <v>26</v>
      </c>
      <c r="T428" s="3" t="s">
        <v>64</v>
      </c>
      <c r="U428" s="3"/>
      <c r="V428" s="3"/>
      <c r="W428" s="3"/>
    </row>
    <row r="429" spans="1:23" ht="13" x14ac:dyDescent="0.15">
      <c r="A429" s="2">
        <v>45636.548236979172</v>
      </c>
      <c r="B429" s="3" t="s">
        <v>223</v>
      </c>
      <c r="D429" s="3">
        <v>2</v>
      </c>
      <c r="J429" s="3" t="s">
        <v>25</v>
      </c>
      <c r="K429" s="3" t="s">
        <v>152</v>
      </c>
      <c r="T429" s="3" t="s">
        <v>64</v>
      </c>
      <c r="U429" s="3"/>
      <c r="V429" s="3"/>
      <c r="W429" s="3"/>
    </row>
    <row r="430" spans="1:23" ht="13" x14ac:dyDescent="0.15">
      <c r="A430" s="2">
        <v>45636.551379027776</v>
      </c>
      <c r="B430" s="3" t="s">
        <v>223</v>
      </c>
      <c r="G430" s="3">
        <v>11.5</v>
      </c>
      <c r="L430" s="3" t="s">
        <v>255</v>
      </c>
      <c r="T430" s="3" t="s">
        <v>64</v>
      </c>
      <c r="U430" s="3"/>
      <c r="V430" s="3"/>
      <c r="W430" s="3"/>
    </row>
    <row r="431" spans="1:23" ht="13" x14ac:dyDescent="0.15">
      <c r="A431" s="2">
        <v>45636.608157013892</v>
      </c>
      <c r="B431" s="3" t="s">
        <v>174</v>
      </c>
      <c r="H431" s="3">
        <v>2</v>
      </c>
      <c r="T431" s="3" t="s">
        <v>53</v>
      </c>
      <c r="U431" s="3"/>
      <c r="V431" s="3"/>
      <c r="W431" s="3"/>
    </row>
    <row r="432" spans="1:23" ht="13" x14ac:dyDescent="0.15">
      <c r="A432" s="2">
        <v>45637.585220127316</v>
      </c>
      <c r="B432" s="3" t="s">
        <v>69</v>
      </c>
      <c r="H432" s="3">
        <v>1</v>
      </c>
      <c r="M432" s="3">
        <v>6</v>
      </c>
      <c r="T432" s="3" t="s">
        <v>54</v>
      </c>
      <c r="U432" s="3"/>
      <c r="V432" s="3"/>
      <c r="W432" s="3"/>
    </row>
    <row r="433" spans="1:23" ht="13" x14ac:dyDescent="0.15">
      <c r="A433" s="2">
        <v>45639.673069108801</v>
      </c>
      <c r="B433" s="3" t="s">
        <v>223</v>
      </c>
      <c r="D433" s="3">
        <v>2</v>
      </c>
      <c r="J433" s="3" t="s">
        <v>103</v>
      </c>
      <c r="K433" s="3" t="s">
        <v>138</v>
      </c>
      <c r="T433" s="3" t="s">
        <v>64</v>
      </c>
      <c r="U433" s="3"/>
      <c r="V433" s="3"/>
      <c r="W433" s="3"/>
    </row>
    <row r="434" spans="1:23" ht="13" x14ac:dyDescent="0.15">
      <c r="A434" s="2">
        <v>45639.673345115742</v>
      </c>
      <c r="B434" s="3" t="s">
        <v>223</v>
      </c>
      <c r="D434" s="3">
        <v>1</v>
      </c>
      <c r="J434" s="3" t="s">
        <v>103</v>
      </c>
      <c r="K434" s="3" t="s">
        <v>139</v>
      </c>
      <c r="T434" s="3" t="s">
        <v>64</v>
      </c>
      <c r="U434" s="3"/>
      <c r="V434" s="3"/>
      <c r="W434" s="3"/>
    </row>
    <row r="435" spans="1:23" ht="13" x14ac:dyDescent="0.15">
      <c r="A435" s="2">
        <v>45639.67354920139</v>
      </c>
      <c r="B435" s="3" t="s">
        <v>223</v>
      </c>
      <c r="D435" s="3">
        <v>2</v>
      </c>
      <c r="J435" s="3" t="s">
        <v>103</v>
      </c>
      <c r="K435" s="3" t="s">
        <v>146</v>
      </c>
      <c r="T435" s="3" t="s">
        <v>64</v>
      </c>
      <c r="U435" s="3"/>
      <c r="V435" s="3"/>
      <c r="W435" s="3"/>
    </row>
    <row r="436" spans="1:23" ht="13" x14ac:dyDescent="0.15">
      <c r="A436" s="2">
        <v>45639.673797662035</v>
      </c>
      <c r="B436" s="3" t="s">
        <v>223</v>
      </c>
      <c r="D436" s="3">
        <v>1</v>
      </c>
      <c r="J436" s="3" t="s">
        <v>103</v>
      </c>
      <c r="K436" s="3" t="s">
        <v>140</v>
      </c>
      <c r="T436" s="3" t="s">
        <v>64</v>
      </c>
      <c r="U436" s="3"/>
      <c r="V436" s="3"/>
      <c r="W436" s="3"/>
    </row>
    <row r="437" spans="1:23" ht="13" x14ac:dyDescent="0.15">
      <c r="A437" s="2">
        <v>45639.674043796302</v>
      </c>
      <c r="B437" s="3" t="s">
        <v>223</v>
      </c>
      <c r="D437" s="3">
        <v>2</v>
      </c>
      <c r="J437" s="3" t="s">
        <v>103</v>
      </c>
      <c r="K437" s="3" t="s">
        <v>151</v>
      </c>
      <c r="T437" s="3" t="s">
        <v>64</v>
      </c>
      <c r="U437" s="3"/>
      <c r="V437" s="3"/>
      <c r="W437" s="3"/>
    </row>
    <row r="438" spans="1:23" ht="13" x14ac:dyDescent="0.15">
      <c r="A438" s="2">
        <v>45639.67422763889</v>
      </c>
      <c r="B438" s="3" t="s">
        <v>223</v>
      </c>
      <c r="D438" s="3">
        <v>2</v>
      </c>
      <c r="J438" s="3" t="s">
        <v>103</v>
      </c>
      <c r="K438" s="3" t="s">
        <v>142</v>
      </c>
      <c r="T438" s="3" t="s">
        <v>64</v>
      </c>
      <c r="U438" s="3"/>
      <c r="V438" s="3"/>
      <c r="W438" s="3"/>
    </row>
    <row r="439" spans="1:23" ht="13" x14ac:dyDescent="0.15">
      <c r="A439" s="2">
        <v>45639.674877268517</v>
      </c>
      <c r="B439" s="3" t="s">
        <v>223</v>
      </c>
      <c r="D439" s="3">
        <v>1</v>
      </c>
      <c r="J439" s="3" t="s">
        <v>103</v>
      </c>
      <c r="K439" s="3" t="s">
        <v>26</v>
      </c>
      <c r="T439" s="3" t="s">
        <v>64</v>
      </c>
      <c r="U439" s="3"/>
      <c r="V439" s="3"/>
      <c r="W439" s="3"/>
    </row>
    <row r="440" spans="1:23" ht="13" x14ac:dyDescent="0.15">
      <c r="A440" s="2">
        <v>45639.675155682868</v>
      </c>
      <c r="B440" s="3" t="s">
        <v>223</v>
      </c>
      <c r="D440" s="3">
        <v>1</v>
      </c>
      <c r="J440" s="3" t="s">
        <v>103</v>
      </c>
      <c r="K440" s="3" t="s">
        <v>152</v>
      </c>
      <c r="T440" s="3" t="s">
        <v>64</v>
      </c>
      <c r="U440" s="3"/>
      <c r="V440" s="3"/>
      <c r="W440" s="3"/>
    </row>
    <row r="441" spans="1:23" ht="13" x14ac:dyDescent="0.15">
      <c r="A441" s="2">
        <v>45639.675334780091</v>
      </c>
      <c r="B441" s="3" t="s">
        <v>223</v>
      </c>
      <c r="D441" s="3">
        <v>1</v>
      </c>
      <c r="J441" s="3" t="s">
        <v>25</v>
      </c>
      <c r="K441" s="3" t="s">
        <v>152</v>
      </c>
      <c r="T441" s="3" t="s">
        <v>64</v>
      </c>
      <c r="U441" s="3"/>
      <c r="V441" s="3"/>
      <c r="W441" s="3"/>
    </row>
    <row r="442" spans="1:23" ht="13" x14ac:dyDescent="0.15">
      <c r="A442" s="2">
        <v>45639.679082800925</v>
      </c>
      <c r="B442" s="3" t="s">
        <v>223</v>
      </c>
      <c r="G442" s="3">
        <v>4.33</v>
      </c>
      <c r="Q442" s="3" t="s">
        <v>256</v>
      </c>
      <c r="T442" s="3" t="s">
        <v>64</v>
      </c>
      <c r="U442" s="3"/>
      <c r="V442" s="3"/>
      <c r="W442" s="3"/>
    </row>
    <row r="443" spans="1:23" ht="13" x14ac:dyDescent="0.15">
      <c r="A443" s="2">
        <v>45639.718580185188</v>
      </c>
      <c r="B443" s="3" t="s">
        <v>118</v>
      </c>
      <c r="D443" s="3">
        <v>121</v>
      </c>
      <c r="F443" s="6">
        <v>1104</v>
      </c>
      <c r="G443" s="3">
        <v>35</v>
      </c>
      <c r="H443" s="3">
        <v>12</v>
      </c>
      <c r="L443" s="3" t="s">
        <v>235</v>
      </c>
      <c r="T443" s="3" t="s">
        <v>60</v>
      </c>
      <c r="U443" s="3"/>
      <c r="V443" s="3"/>
      <c r="W443" s="3"/>
    </row>
    <row r="444" spans="1:23" ht="13" x14ac:dyDescent="0.15">
      <c r="A444" s="2">
        <v>45639.721084004632</v>
      </c>
      <c r="B444" s="3" t="s">
        <v>118</v>
      </c>
      <c r="I444" s="3" t="s">
        <v>35</v>
      </c>
      <c r="J444" s="3" t="s">
        <v>103</v>
      </c>
      <c r="K444" s="3" t="s">
        <v>146</v>
      </c>
      <c r="L444" s="3" t="s">
        <v>257</v>
      </c>
      <c r="R444" s="3" t="s">
        <v>258</v>
      </c>
      <c r="T444" s="3" t="s">
        <v>60</v>
      </c>
      <c r="U444" s="3"/>
      <c r="V444" s="3"/>
      <c r="W444" s="3"/>
    </row>
    <row r="445" spans="1:23" ht="13" x14ac:dyDescent="0.15">
      <c r="A445" s="2">
        <v>45639.721488263887</v>
      </c>
      <c r="B445" s="3" t="s">
        <v>118</v>
      </c>
      <c r="I445" s="3" t="s">
        <v>84</v>
      </c>
      <c r="J445" s="3" t="s">
        <v>103</v>
      </c>
      <c r="K445" s="3" t="s">
        <v>142</v>
      </c>
      <c r="T445" s="3" t="s">
        <v>60</v>
      </c>
      <c r="U445" s="3"/>
      <c r="V445" s="3"/>
      <c r="W445" s="3"/>
    </row>
    <row r="446" spans="1:23" ht="13" x14ac:dyDescent="0.15">
      <c r="A446" s="2">
        <v>45639.721958391208</v>
      </c>
      <c r="B446" s="3" t="s">
        <v>118</v>
      </c>
      <c r="I446" s="3" t="s">
        <v>35</v>
      </c>
      <c r="J446" s="3" t="s">
        <v>103</v>
      </c>
      <c r="K446" s="3" t="s">
        <v>142</v>
      </c>
      <c r="T446" s="3" t="s">
        <v>60</v>
      </c>
      <c r="U446" s="3"/>
      <c r="V446" s="3"/>
      <c r="W446" s="3"/>
    </row>
    <row r="447" spans="1:23" ht="13" x14ac:dyDescent="0.15">
      <c r="A447" s="2">
        <v>45639.722213113426</v>
      </c>
      <c r="B447" s="3" t="s">
        <v>118</v>
      </c>
      <c r="I447" s="3" t="s">
        <v>24</v>
      </c>
      <c r="J447" s="3" t="s">
        <v>103</v>
      </c>
      <c r="K447" s="3" t="s">
        <v>142</v>
      </c>
      <c r="T447" s="3" t="s">
        <v>60</v>
      </c>
      <c r="U447" s="3"/>
      <c r="V447" s="3"/>
      <c r="W447" s="3"/>
    </row>
    <row r="448" spans="1:23" ht="13" x14ac:dyDescent="0.15">
      <c r="A448" s="2">
        <v>45639.722579108799</v>
      </c>
      <c r="B448" s="3" t="s">
        <v>118</v>
      </c>
      <c r="I448" s="3" t="s">
        <v>76</v>
      </c>
      <c r="J448" s="3" t="s">
        <v>25</v>
      </c>
      <c r="K448" s="3" t="s">
        <v>151</v>
      </c>
      <c r="T448" s="3" t="s">
        <v>60</v>
      </c>
      <c r="U448" s="3"/>
      <c r="V448" s="3"/>
      <c r="W448" s="3"/>
    </row>
    <row r="449" spans="1:23" ht="13" x14ac:dyDescent="0.15">
      <c r="A449" s="2">
        <v>45639.722920092594</v>
      </c>
      <c r="B449" s="3" t="s">
        <v>118</v>
      </c>
      <c r="I449" s="3" t="s">
        <v>35</v>
      </c>
      <c r="J449" s="3" t="s">
        <v>25</v>
      </c>
      <c r="K449" s="3" t="s">
        <v>139</v>
      </c>
      <c r="T449" s="3" t="s">
        <v>60</v>
      </c>
      <c r="U449" s="3"/>
      <c r="V449" s="3"/>
      <c r="W449" s="3"/>
    </row>
    <row r="450" spans="1:23" ht="13" x14ac:dyDescent="0.15">
      <c r="A450" s="2">
        <v>45639.723837245372</v>
      </c>
      <c r="B450" s="3" t="s">
        <v>118</v>
      </c>
      <c r="I450" s="3" t="s">
        <v>76</v>
      </c>
      <c r="J450" s="3" t="s">
        <v>103</v>
      </c>
      <c r="K450" s="3" t="s">
        <v>138</v>
      </c>
      <c r="T450" s="3" t="s">
        <v>60</v>
      </c>
      <c r="U450" s="3"/>
      <c r="V450" s="3"/>
      <c r="W450" s="3"/>
    </row>
    <row r="451" spans="1:23" ht="13" x14ac:dyDescent="0.15">
      <c r="A451" s="2">
        <v>45642.406538831019</v>
      </c>
      <c r="B451" s="3" t="s">
        <v>149</v>
      </c>
      <c r="D451" s="3">
        <v>8</v>
      </c>
      <c r="G451" s="3">
        <v>30</v>
      </c>
      <c r="H451" s="3">
        <v>6</v>
      </c>
      <c r="I451" s="3" t="s">
        <v>102</v>
      </c>
      <c r="J451" s="3" t="s">
        <v>77</v>
      </c>
      <c r="K451" s="3" t="s">
        <v>151</v>
      </c>
      <c r="M451" s="3">
        <v>8</v>
      </c>
      <c r="T451" s="3" t="s">
        <v>45</v>
      </c>
      <c r="U451" s="3"/>
      <c r="V451" s="3"/>
      <c r="W451" s="3"/>
    </row>
    <row r="452" spans="1:23" ht="13" x14ac:dyDescent="0.15">
      <c r="A452" s="2">
        <v>45642.407229178236</v>
      </c>
      <c r="B452" s="3" t="s">
        <v>149</v>
      </c>
      <c r="D452" s="3">
        <v>8</v>
      </c>
      <c r="G452" s="3">
        <v>30</v>
      </c>
      <c r="H452" s="3">
        <v>4</v>
      </c>
      <c r="I452" s="3" t="s">
        <v>102</v>
      </c>
      <c r="J452" s="3" t="s">
        <v>77</v>
      </c>
      <c r="K452" s="3" t="s">
        <v>151</v>
      </c>
      <c r="L452" s="3" t="s">
        <v>259</v>
      </c>
      <c r="T452" s="3" t="s">
        <v>45</v>
      </c>
      <c r="U452" s="3"/>
      <c r="V452" s="3"/>
      <c r="W452" s="3"/>
    </row>
    <row r="453" spans="1:23" ht="13" x14ac:dyDescent="0.15">
      <c r="A453" s="2">
        <v>45642.501591238426</v>
      </c>
      <c r="B453" s="3" t="s">
        <v>91</v>
      </c>
      <c r="D453" s="3">
        <v>4</v>
      </c>
      <c r="G453" s="3">
        <v>10</v>
      </c>
      <c r="I453" s="3" t="s">
        <v>102</v>
      </c>
      <c r="K453" s="3" t="s">
        <v>101</v>
      </c>
      <c r="P453" s="3" t="s">
        <v>92</v>
      </c>
      <c r="Q453" s="3" t="s">
        <v>93</v>
      </c>
      <c r="T453" s="3" t="s">
        <v>33</v>
      </c>
      <c r="U453" s="3"/>
      <c r="V453" s="3"/>
      <c r="W453" s="3"/>
    </row>
    <row r="454" spans="1:23" ht="13" x14ac:dyDescent="0.15">
      <c r="A454" s="2">
        <v>45642.502477534726</v>
      </c>
      <c r="B454" s="3" t="s">
        <v>91</v>
      </c>
      <c r="D454" s="3">
        <v>5</v>
      </c>
      <c r="I454" s="3" t="s">
        <v>24</v>
      </c>
      <c r="J454" s="3" t="s">
        <v>103</v>
      </c>
      <c r="K454" s="3" t="s">
        <v>101</v>
      </c>
      <c r="Q454" s="3" t="s">
        <v>106</v>
      </c>
      <c r="T454" s="3" t="s">
        <v>33</v>
      </c>
      <c r="U454" s="3"/>
      <c r="V454" s="3"/>
      <c r="W454" s="3"/>
    </row>
    <row r="455" spans="1:23" ht="13" x14ac:dyDescent="0.15">
      <c r="A455" s="2">
        <v>45642.503049085644</v>
      </c>
      <c r="B455" s="3" t="s">
        <v>91</v>
      </c>
      <c r="D455" s="3">
        <v>20</v>
      </c>
      <c r="I455" s="3" t="s">
        <v>35</v>
      </c>
      <c r="J455" s="3" t="s">
        <v>36</v>
      </c>
      <c r="K455" s="3" t="s">
        <v>101</v>
      </c>
      <c r="Q455" s="3" t="s">
        <v>110</v>
      </c>
      <c r="T455" s="3" t="s">
        <v>33</v>
      </c>
      <c r="U455" s="3"/>
      <c r="V455" s="3"/>
      <c r="W455" s="3"/>
    </row>
    <row r="456" spans="1:23" ht="13" x14ac:dyDescent="0.15">
      <c r="A456" s="2">
        <v>45642.503752615739</v>
      </c>
      <c r="B456" s="3" t="s">
        <v>91</v>
      </c>
      <c r="D456" s="3">
        <v>8</v>
      </c>
      <c r="I456" s="3" t="s">
        <v>24</v>
      </c>
      <c r="J456" s="3" t="s">
        <v>77</v>
      </c>
      <c r="K456" s="3" t="s">
        <v>101</v>
      </c>
      <c r="T456" s="3" t="s">
        <v>33</v>
      </c>
      <c r="U456" s="3"/>
      <c r="V456" s="3"/>
      <c r="W456" s="3"/>
    </row>
    <row r="457" spans="1:23" ht="13" x14ac:dyDescent="0.15">
      <c r="A457" s="2">
        <v>45642.504316979168</v>
      </c>
      <c r="B457" s="3" t="s">
        <v>91</v>
      </c>
      <c r="D457" s="3">
        <v>3</v>
      </c>
      <c r="I457" s="3" t="s">
        <v>76</v>
      </c>
      <c r="J457" s="3" t="s">
        <v>237</v>
      </c>
      <c r="K457" s="3" t="s">
        <v>97</v>
      </c>
      <c r="T457" s="3" t="s">
        <v>33</v>
      </c>
      <c r="U457" s="3"/>
      <c r="V457" s="3"/>
      <c r="W457" s="3"/>
    </row>
    <row r="458" spans="1:23" ht="13" x14ac:dyDescent="0.15">
      <c r="A458" s="2">
        <v>45642.546455937496</v>
      </c>
      <c r="B458" s="3" t="s">
        <v>91</v>
      </c>
      <c r="D458" s="3">
        <v>2</v>
      </c>
      <c r="I458" s="3" t="s">
        <v>24</v>
      </c>
      <c r="J458" s="3" t="s">
        <v>237</v>
      </c>
      <c r="K458" s="3" t="s">
        <v>97</v>
      </c>
      <c r="T458" s="3" t="s">
        <v>33</v>
      </c>
      <c r="U458" s="3"/>
      <c r="V458" s="3"/>
      <c r="W458" s="3"/>
    </row>
    <row r="459" spans="1:23" ht="13" x14ac:dyDescent="0.15">
      <c r="A459" s="2">
        <v>45642.593003206013</v>
      </c>
      <c r="B459" s="3" t="s">
        <v>91</v>
      </c>
      <c r="D459" s="3">
        <v>4</v>
      </c>
      <c r="I459" s="3" t="s">
        <v>24</v>
      </c>
      <c r="J459" s="3" t="s">
        <v>77</v>
      </c>
      <c r="K459" s="3" t="s">
        <v>97</v>
      </c>
      <c r="T459" s="3" t="s">
        <v>33</v>
      </c>
      <c r="U459" s="3"/>
      <c r="V459" s="3"/>
      <c r="W459" s="3"/>
    </row>
    <row r="460" spans="1:23" ht="13" x14ac:dyDescent="0.15">
      <c r="A460" s="2">
        <v>45642.593330729171</v>
      </c>
      <c r="B460" s="3" t="s">
        <v>91</v>
      </c>
      <c r="D460" s="3">
        <v>5</v>
      </c>
      <c r="I460" s="3" t="s">
        <v>24</v>
      </c>
      <c r="J460" s="3" t="s">
        <v>77</v>
      </c>
      <c r="K460" s="3" t="s">
        <v>97</v>
      </c>
      <c r="T460" s="3" t="s">
        <v>33</v>
      </c>
      <c r="U460" s="3"/>
      <c r="V460" s="3"/>
      <c r="W460" s="3"/>
    </row>
    <row r="461" spans="1:23" ht="13" x14ac:dyDescent="0.15">
      <c r="A461" s="2">
        <v>45642.594555439813</v>
      </c>
      <c r="B461" s="3" t="s">
        <v>91</v>
      </c>
      <c r="D461" s="3">
        <v>4</v>
      </c>
      <c r="I461" s="3" t="s">
        <v>82</v>
      </c>
      <c r="J461" s="3" t="s">
        <v>77</v>
      </c>
      <c r="K461" s="3" t="s">
        <v>97</v>
      </c>
      <c r="T461" s="3" t="s">
        <v>33</v>
      </c>
      <c r="U461" s="3"/>
      <c r="V461" s="3"/>
      <c r="W461" s="3"/>
    </row>
    <row r="462" spans="1:23" ht="13" x14ac:dyDescent="0.15">
      <c r="A462" s="2">
        <v>45642.596829050926</v>
      </c>
      <c r="B462" s="3" t="s">
        <v>91</v>
      </c>
      <c r="D462" s="3">
        <v>1</v>
      </c>
      <c r="I462" s="3" t="s">
        <v>82</v>
      </c>
      <c r="J462" s="3" t="s">
        <v>65</v>
      </c>
      <c r="K462" s="3" t="s">
        <v>159</v>
      </c>
      <c r="T462" s="3" t="s">
        <v>33</v>
      </c>
      <c r="U462" s="3"/>
      <c r="V462" s="3"/>
      <c r="W462" s="3"/>
    </row>
    <row r="463" spans="1:23" ht="13" x14ac:dyDescent="0.15">
      <c r="A463" s="2">
        <v>45642.597254259264</v>
      </c>
      <c r="B463" s="3" t="s">
        <v>91</v>
      </c>
      <c r="D463" s="3">
        <v>2</v>
      </c>
      <c r="I463" s="3" t="s">
        <v>35</v>
      </c>
      <c r="J463" s="3" t="s">
        <v>65</v>
      </c>
      <c r="K463" s="3" t="s">
        <v>159</v>
      </c>
      <c r="T463" s="3" t="s">
        <v>33</v>
      </c>
      <c r="U463" s="3"/>
      <c r="V463" s="3"/>
      <c r="W463" s="3"/>
    </row>
    <row r="464" spans="1:23" ht="13" x14ac:dyDescent="0.15">
      <c r="A464" s="2">
        <v>45642.597558692127</v>
      </c>
      <c r="B464" s="3" t="s">
        <v>91</v>
      </c>
      <c r="D464" s="3">
        <v>4</v>
      </c>
      <c r="I464" s="3" t="s">
        <v>35</v>
      </c>
      <c r="J464" s="3" t="s">
        <v>103</v>
      </c>
      <c r="K464" s="3" t="s">
        <v>97</v>
      </c>
      <c r="T464" s="3" t="s">
        <v>33</v>
      </c>
      <c r="U464" s="3"/>
      <c r="V464" s="3"/>
      <c r="W464" s="3"/>
    </row>
    <row r="465" spans="1:23" ht="13" x14ac:dyDescent="0.15">
      <c r="A465" s="2">
        <v>45642.598213668985</v>
      </c>
      <c r="B465" s="3" t="s">
        <v>91</v>
      </c>
      <c r="M465" s="3">
        <v>130</v>
      </c>
      <c r="T465" s="3" t="s">
        <v>33</v>
      </c>
      <c r="U465" s="3"/>
      <c r="V465" s="3"/>
      <c r="W465" s="3"/>
    </row>
    <row r="466" spans="1:23" ht="13" x14ac:dyDescent="0.15">
      <c r="A466" s="2">
        <v>45642.599778587959</v>
      </c>
      <c r="B466" s="3" t="s">
        <v>91</v>
      </c>
      <c r="D466" s="3">
        <v>8</v>
      </c>
      <c r="I466" s="3" t="s">
        <v>35</v>
      </c>
      <c r="J466" s="3" t="s">
        <v>260</v>
      </c>
      <c r="K466" s="3" t="s">
        <v>97</v>
      </c>
      <c r="T466" s="3" t="s">
        <v>33</v>
      </c>
      <c r="U466" s="3"/>
      <c r="V466" s="3"/>
      <c r="W466" s="3"/>
    </row>
    <row r="467" spans="1:23" ht="13" x14ac:dyDescent="0.15">
      <c r="A467" s="2">
        <v>45644.45906361111</v>
      </c>
      <c r="B467" s="3" t="s">
        <v>238</v>
      </c>
      <c r="F467" s="3">
        <v>-1</v>
      </c>
      <c r="G467" s="3">
        <v>20</v>
      </c>
      <c r="H467" s="3">
        <v>13</v>
      </c>
      <c r="L467" s="3" t="s">
        <v>261</v>
      </c>
      <c r="M467" s="3">
        <v>2</v>
      </c>
      <c r="P467" s="3" t="s">
        <v>153</v>
      </c>
      <c r="Q467" s="3" t="s">
        <v>262</v>
      </c>
      <c r="R467" s="3" t="s">
        <v>263</v>
      </c>
      <c r="T467" s="3" t="s">
        <v>42</v>
      </c>
      <c r="U467" s="3"/>
      <c r="V467" s="3"/>
      <c r="W467" s="3"/>
    </row>
    <row r="468" spans="1:23" ht="13" x14ac:dyDescent="0.15">
      <c r="A468" s="2">
        <v>45644.459332893515</v>
      </c>
      <c r="B468" s="3" t="s">
        <v>238</v>
      </c>
      <c r="Q468" s="3" t="s">
        <v>264</v>
      </c>
      <c r="T468" s="3" t="s">
        <v>42</v>
      </c>
      <c r="U468" s="3"/>
      <c r="V468" s="3"/>
      <c r="W468" s="3"/>
    </row>
    <row r="469" spans="1:23" ht="13" x14ac:dyDescent="0.15">
      <c r="A469" s="2">
        <v>45644.527051886573</v>
      </c>
      <c r="B469" s="3" t="s">
        <v>51</v>
      </c>
      <c r="C469" s="3">
        <v>3263</v>
      </c>
      <c r="N469" s="3">
        <v>481</v>
      </c>
      <c r="T469" s="3" t="s">
        <v>31</v>
      </c>
      <c r="U469" s="3"/>
      <c r="V469" s="3"/>
      <c r="W469" s="3"/>
    </row>
    <row r="470" spans="1:23" ht="13" x14ac:dyDescent="0.15">
      <c r="A470" s="2">
        <v>45644.528602916667</v>
      </c>
      <c r="B470" s="3" t="s">
        <v>51</v>
      </c>
      <c r="C470" s="3">
        <v>4043</v>
      </c>
      <c r="N470" s="3">
        <v>454</v>
      </c>
      <c r="T470" s="3" t="s">
        <v>42</v>
      </c>
      <c r="U470" s="3"/>
      <c r="V470" s="3"/>
      <c r="W470" s="3"/>
    </row>
    <row r="471" spans="1:23" ht="13" x14ac:dyDescent="0.15">
      <c r="A471" s="2">
        <v>45644.530181388887</v>
      </c>
      <c r="B471" s="3" t="s">
        <v>51</v>
      </c>
      <c r="C471" s="3">
        <v>3607</v>
      </c>
      <c r="N471" s="3">
        <v>327</v>
      </c>
      <c r="T471" s="3" t="s">
        <v>32</v>
      </c>
      <c r="U471" s="3"/>
      <c r="V471" s="3"/>
      <c r="W471" s="3"/>
    </row>
    <row r="472" spans="1:23" ht="13" x14ac:dyDescent="0.15">
      <c r="A472" s="2">
        <v>45644.530950393513</v>
      </c>
      <c r="B472" s="3" t="s">
        <v>51</v>
      </c>
      <c r="C472" s="3">
        <v>2097</v>
      </c>
      <c r="N472" s="3">
        <v>130</v>
      </c>
      <c r="T472" s="3" t="s">
        <v>43</v>
      </c>
      <c r="U472" s="3"/>
      <c r="V472" s="3"/>
      <c r="W472" s="3"/>
    </row>
    <row r="473" spans="1:23" ht="13" x14ac:dyDescent="0.15">
      <c r="A473" s="2">
        <v>45644.531887986115</v>
      </c>
      <c r="B473" s="3" t="s">
        <v>51</v>
      </c>
      <c r="C473" s="3">
        <v>2438</v>
      </c>
      <c r="N473" s="3">
        <v>47</v>
      </c>
      <c r="T473" s="3" t="s">
        <v>44</v>
      </c>
      <c r="U473" s="3"/>
      <c r="V473" s="3"/>
      <c r="W473" s="3"/>
    </row>
    <row r="474" spans="1:23" ht="13" x14ac:dyDescent="0.15">
      <c r="A474" s="2">
        <v>45644.534688113425</v>
      </c>
      <c r="B474" s="3" t="s">
        <v>51</v>
      </c>
      <c r="C474" s="3">
        <v>1657</v>
      </c>
      <c r="N474" s="3">
        <v>14</v>
      </c>
      <c r="T474" s="3" t="s">
        <v>45</v>
      </c>
      <c r="U474" s="3"/>
      <c r="V474" s="3"/>
      <c r="W474" s="3"/>
    </row>
    <row r="475" spans="1:23" ht="13" x14ac:dyDescent="0.15">
      <c r="A475" s="2">
        <v>45644.535458796294</v>
      </c>
      <c r="B475" s="3" t="s">
        <v>51</v>
      </c>
      <c r="C475" s="3">
        <v>1477</v>
      </c>
      <c r="N475" s="3">
        <v>35</v>
      </c>
      <c r="T475" s="3" t="s">
        <v>46</v>
      </c>
      <c r="U475" s="3"/>
      <c r="V475" s="3"/>
      <c r="W475" s="3"/>
    </row>
    <row r="476" spans="1:23" ht="13" x14ac:dyDescent="0.15">
      <c r="A476" s="2">
        <v>45644.536176157402</v>
      </c>
      <c r="B476" s="3" t="s">
        <v>51</v>
      </c>
      <c r="C476" s="3">
        <v>1777</v>
      </c>
      <c r="N476" s="3">
        <v>160</v>
      </c>
      <c r="T476" s="3" t="s">
        <v>55</v>
      </c>
      <c r="U476" s="3"/>
      <c r="V476" s="3"/>
      <c r="W476" s="3"/>
    </row>
    <row r="477" spans="1:23" ht="13" x14ac:dyDescent="0.15">
      <c r="A477" s="2">
        <v>45644.536943703701</v>
      </c>
      <c r="B477" s="3" t="s">
        <v>51</v>
      </c>
      <c r="C477" s="3">
        <v>2407</v>
      </c>
      <c r="N477" s="3">
        <v>89</v>
      </c>
      <c r="T477" s="3" t="s">
        <v>56</v>
      </c>
      <c r="U477" s="3"/>
      <c r="V477" s="3"/>
      <c r="W477" s="3"/>
    </row>
    <row r="478" spans="1:23" ht="13" x14ac:dyDescent="0.15">
      <c r="A478" s="2">
        <v>45644.537573796297</v>
      </c>
      <c r="B478" s="3" t="s">
        <v>51</v>
      </c>
      <c r="C478" s="3">
        <v>1634</v>
      </c>
      <c r="N478" s="3">
        <v>224</v>
      </c>
      <c r="T478" s="3" t="s">
        <v>57</v>
      </c>
      <c r="U478" s="3"/>
      <c r="V478" s="3"/>
      <c r="W478" s="3"/>
    </row>
    <row r="479" spans="1:23" ht="13" x14ac:dyDescent="0.15">
      <c r="A479" s="2">
        <v>45644.53828252315</v>
      </c>
      <c r="B479" s="3" t="s">
        <v>51</v>
      </c>
      <c r="C479" s="3">
        <v>1334</v>
      </c>
      <c r="N479" s="3">
        <v>20</v>
      </c>
      <c r="T479" s="3" t="s">
        <v>58</v>
      </c>
      <c r="U479" s="3"/>
      <c r="V479" s="3"/>
      <c r="W479" s="3"/>
    </row>
    <row r="480" spans="1:23" ht="13" x14ac:dyDescent="0.15">
      <c r="A480" s="2">
        <v>45644.539009236112</v>
      </c>
      <c r="B480" s="3" t="s">
        <v>51</v>
      </c>
      <c r="C480" s="3">
        <v>11082</v>
      </c>
      <c r="N480" s="3">
        <v>316</v>
      </c>
      <c r="T480" s="3" t="s">
        <v>59</v>
      </c>
      <c r="U480" s="3"/>
      <c r="V480" s="3"/>
      <c r="W480" s="3"/>
    </row>
    <row r="481" spans="1:23" ht="13" x14ac:dyDescent="0.15">
      <c r="A481" s="2">
        <v>45644.539806111112</v>
      </c>
      <c r="B481" s="3" t="s">
        <v>51</v>
      </c>
      <c r="C481" s="3">
        <v>3584</v>
      </c>
      <c r="N481" s="3">
        <v>912</v>
      </c>
      <c r="T481" s="3" t="s">
        <v>60</v>
      </c>
      <c r="U481" s="3"/>
      <c r="V481" s="3"/>
      <c r="W481" s="3"/>
    </row>
    <row r="482" spans="1:23" ht="13" x14ac:dyDescent="0.15">
      <c r="A482" s="2">
        <v>45644.540419560188</v>
      </c>
      <c r="B482" s="3" t="s">
        <v>51</v>
      </c>
      <c r="C482" s="3">
        <v>2902</v>
      </c>
      <c r="N482" s="3">
        <v>1</v>
      </c>
      <c r="T482" s="3" t="s">
        <v>61</v>
      </c>
      <c r="U482" s="3"/>
      <c r="V482" s="3"/>
      <c r="W482" s="3"/>
    </row>
    <row r="483" spans="1:23" ht="13" x14ac:dyDescent="0.15">
      <c r="A483" s="2">
        <v>45644.541063888886</v>
      </c>
      <c r="B483" s="3" t="s">
        <v>51</v>
      </c>
      <c r="C483" s="3">
        <v>2801</v>
      </c>
      <c r="N483" s="3">
        <v>302</v>
      </c>
      <c r="T483" s="3" t="s">
        <v>62</v>
      </c>
      <c r="U483" s="3"/>
      <c r="V483" s="3"/>
      <c r="W483" s="3"/>
    </row>
    <row r="484" spans="1:23" ht="13" x14ac:dyDescent="0.15">
      <c r="A484" s="2">
        <v>45644.541712986116</v>
      </c>
      <c r="B484" s="3" t="s">
        <v>51</v>
      </c>
      <c r="C484" s="3">
        <v>2921</v>
      </c>
      <c r="N484" s="3">
        <v>345</v>
      </c>
      <c r="T484" s="3" t="s">
        <v>63</v>
      </c>
      <c r="U484" s="3"/>
      <c r="V484" s="3"/>
      <c r="W484" s="3"/>
    </row>
    <row r="485" spans="1:23" ht="13" x14ac:dyDescent="0.15">
      <c r="A485" s="2">
        <v>45644.54240111111</v>
      </c>
      <c r="B485" s="3" t="s">
        <v>51</v>
      </c>
      <c r="C485" s="3">
        <v>1746</v>
      </c>
      <c r="N485" s="3">
        <v>44</v>
      </c>
      <c r="T485" s="3" t="s">
        <v>64</v>
      </c>
      <c r="U485" s="3"/>
      <c r="V485" s="3"/>
      <c r="W485" s="3"/>
    </row>
    <row r="486" spans="1:23" ht="13" x14ac:dyDescent="0.15">
      <c r="A486" s="2">
        <v>45644.543044710648</v>
      </c>
      <c r="B486" s="3" t="s">
        <v>51</v>
      </c>
      <c r="C486" s="3">
        <v>596</v>
      </c>
      <c r="N486" s="3">
        <v>141</v>
      </c>
      <c r="T486" s="3" t="s">
        <v>39</v>
      </c>
      <c r="U486" s="3"/>
      <c r="V486" s="3"/>
      <c r="W486" s="3"/>
    </row>
    <row r="487" spans="1:23" ht="13" x14ac:dyDescent="0.15">
      <c r="A487" s="2">
        <v>45644.543730069447</v>
      </c>
      <c r="B487" s="3" t="s">
        <v>51</v>
      </c>
      <c r="C487" s="3">
        <v>687</v>
      </c>
      <c r="N487" s="3">
        <v>203</v>
      </c>
      <c r="T487" s="3" t="s">
        <v>52</v>
      </c>
      <c r="U487" s="3"/>
      <c r="V487" s="3"/>
      <c r="W487" s="3"/>
    </row>
    <row r="488" spans="1:23" ht="13" x14ac:dyDescent="0.15">
      <c r="A488" s="2">
        <v>45644.544370335643</v>
      </c>
      <c r="B488" s="3" t="s">
        <v>51</v>
      </c>
      <c r="C488" s="3">
        <v>551</v>
      </c>
      <c r="N488" s="3">
        <v>211</v>
      </c>
      <c r="T488" s="3" t="s">
        <v>53</v>
      </c>
      <c r="U488" s="3"/>
      <c r="V488" s="3"/>
      <c r="W488" s="3"/>
    </row>
    <row r="489" spans="1:23" ht="13" x14ac:dyDescent="0.15">
      <c r="A489" s="2">
        <v>45644.545017881945</v>
      </c>
      <c r="B489" s="3" t="s">
        <v>51</v>
      </c>
      <c r="C489" s="3">
        <v>1166</v>
      </c>
      <c r="N489" s="3">
        <v>446</v>
      </c>
      <c r="T489" s="3" t="s">
        <v>54</v>
      </c>
      <c r="U489" s="3"/>
      <c r="V489" s="3"/>
      <c r="W489" s="3"/>
    </row>
    <row r="490" spans="1:23" ht="13" x14ac:dyDescent="0.15">
      <c r="A490" s="2">
        <v>45644.545713935186</v>
      </c>
      <c r="B490" s="3" t="s">
        <v>51</v>
      </c>
      <c r="C490" s="3">
        <v>836</v>
      </c>
      <c r="N490" s="3">
        <v>199</v>
      </c>
      <c r="T490" s="3" t="s">
        <v>50</v>
      </c>
      <c r="U490" s="3"/>
      <c r="V490" s="3"/>
      <c r="W490" s="3"/>
    </row>
    <row r="491" spans="1:23" ht="13" x14ac:dyDescent="0.15">
      <c r="A491" s="2">
        <v>45644.547849652779</v>
      </c>
      <c r="B491" s="3" t="s">
        <v>51</v>
      </c>
      <c r="C491" s="3">
        <v>1821</v>
      </c>
      <c r="N491" s="3">
        <v>413</v>
      </c>
      <c r="T491" s="3" t="s">
        <v>33</v>
      </c>
      <c r="U491" s="3"/>
      <c r="V491" s="3"/>
      <c r="W491" s="3"/>
    </row>
    <row r="492" spans="1:23" ht="13" x14ac:dyDescent="0.15">
      <c r="A492" s="2">
        <v>45644.548897187502</v>
      </c>
      <c r="B492" s="3" t="s">
        <v>51</v>
      </c>
      <c r="C492" s="3">
        <v>94</v>
      </c>
      <c r="N492" s="3">
        <v>9</v>
      </c>
      <c r="T492" s="3" t="s">
        <v>67</v>
      </c>
      <c r="U492" s="3"/>
      <c r="V492" s="3"/>
      <c r="W492" s="3"/>
    </row>
    <row r="493" spans="1:23" ht="13" x14ac:dyDescent="0.15">
      <c r="A493" s="2">
        <v>45644.550042118055</v>
      </c>
      <c r="B493" s="3" t="s">
        <v>51</v>
      </c>
      <c r="C493" s="3">
        <v>4043</v>
      </c>
      <c r="N493" s="3">
        <v>454</v>
      </c>
      <c r="T493" s="3" t="s">
        <v>42</v>
      </c>
      <c r="U493" s="3"/>
      <c r="V493" s="3"/>
      <c r="W493" s="3"/>
    </row>
    <row r="494" spans="1:23" ht="13" x14ac:dyDescent="0.15">
      <c r="A494" s="2">
        <v>45644.556549039349</v>
      </c>
      <c r="B494" s="3" t="s">
        <v>51</v>
      </c>
      <c r="C494" s="3">
        <v>-10000</v>
      </c>
      <c r="T494" s="3" t="s">
        <v>59</v>
      </c>
      <c r="U494" s="3"/>
      <c r="V494" s="3"/>
      <c r="W494" s="3"/>
    </row>
    <row r="495" spans="1:23" ht="13" x14ac:dyDescent="0.15">
      <c r="A495" s="2">
        <v>45644.557856087966</v>
      </c>
      <c r="B495" s="3" t="s">
        <v>51</v>
      </c>
      <c r="C495" s="3">
        <v>-205</v>
      </c>
      <c r="T495" s="3" t="s">
        <v>62</v>
      </c>
      <c r="U495" s="3"/>
      <c r="V495" s="3"/>
      <c r="W495" s="3"/>
    </row>
    <row r="496" spans="1:23" ht="13" x14ac:dyDescent="0.15">
      <c r="A496" s="2">
        <v>45644.560190925928</v>
      </c>
      <c r="B496" s="3" t="s">
        <v>51</v>
      </c>
      <c r="C496" s="3">
        <v>-10000</v>
      </c>
      <c r="T496" s="3" t="s">
        <v>59</v>
      </c>
      <c r="U496" s="3"/>
      <c r="V496" s="3"/>
      <c r="W496" s="3"/>
    </row>
    <row r="497" spans="1:23" ht="13" x14ac:dyDescent="0.15">
      <c r="A497" s="2">
        <v>45644.563531226857</v>
      </c>
      <c r="B497" s="3" t="s">
        <v>51</v>
      </c>
      <c r="C497" s="3">
        <v>-10000</v>
      </c>
      <c r="T497" s="3" t="s">
        <v>59</v>
      </c>
      <c r="U497" s="3"/>
      <c r="V497" s="3"/>
      <c r="W497" s="3"/>
    </row>
    <row r="498" spans="1:23" ht="13" x14ac:dyDescent="0.15">
      <c r="A498" s="2">
        <v>45644.568845659727</v>
      </c>
      <c r="B498" s="3" t="s">
        <v>51</v>
      </c>
      <c r="C498" s="3">
        <v>20000</v>
      </c>
      <c r="T498" s="3" t="s">
        <v>59</v>
      </c>
      <c r="U498" s="3"/>
      <c r="V498" s="3"/>
      <c r="W498" s="3"/>
    </row>
    <row r="499" spans="1:23" ht="13" x14ac:dyDescent="0.15">
      <c r="A499" s="2">
        <v>45644.609970277779</v>
      </c>
      <c r="B499" s="3" t="s">
        <v>265</v>
      </c>
      <c r="M499" s="3">
        <v>12</v>
      </c>
      <c r="T499" s="3" t="s">
        <v>33</v>
      </c>
      <c r="U499" s="3"/>
      <c r="V499" s="3"/>
      <c r="W499" s="3"/>
    </row>
    <row r="500" spans="1:23" ht="13" x14ac:dyDescent="0.15">
      <c r="A500" s="2">
        <v>45644.614691631941</v>
      </c>
      <c r="B500" s="3" t="s">
        <v>51</v>
      </c>
      <c r="C500" s="3">
        <v>205</v>
      </c>
      <c r="T500" s="3" t="s">
        <v>62</v>
      </c>
      <c r="U500" s="3"/>
      <c r="V500" s="3"/>
      <c r="W500" s="3"/>
    </row>
    <row r="501" spans="1:23" ht="13" x14ac:dyDescent="0.15">
      <c r="A501" s="2">
        <v>45645.464647430555</v>
      </c>
      <c r="B501" s="3" t="s">
        <v>79</v>
      </c>
      <c r="D501" s="3">
        <v>2</v>
      </c>
      <c r="G501" s="3">
        <v>8</v>
      </c>
      <c r="H501" s="3">
        <v>5</v>
      </c>
      <c r="J501" s="3" t="s">
        <v>25</v>
      </c>
      <c r="K501" s="3" t="s">
        <v>78</v>
      </c>
      <c r="L501" s="3" t="s">
        <v>80</v>
      </c>
      <c r="M501" s="3">
        <v>5</v>
      </c>
      <c r="T501" s="3" t="s">
        <v>52</v>
      </c>
      <c r="U501" s="3"/>
      <c r="V501" s="3"/>
      <c r="W501" s="3"/>
    </row>
    <row r="502" spans="1:23" ht="13" x14ac:dyDescent="0.15">
      <c r="A502" s="2">
        <v>45645.481012928241</v>
      </c>
      <c r="B502" s="3" t="s">
        <v>174</v>
      </c>
      <c r="D502" s="3">
        <v>4</v>
      </c>
      <c r="G502" s="3">
        <v>2</v>
      </c>
      <c r="I502" s="3" t="s">
        <v>102</v>
      </c>
      <c r="J502" s="3" t="s">
        <v>77</v>
      </c>
      <c r="K502" s="3" t="s">
        <v>41</v>
      </c>
      <c r="Q502" s="3" t="s">
        <v>177</v>
      </c>
      <c r="S502" s="3">
        <v>1</v>
      </c>
      <c r="T502" s="3" t="s">
        <v>53</v>
      </c>
      <c r="U502" s="3"/>
      <c r="V502" s="3"/>
      <c r="W502" s="3"/>
    </row>
    <row r="503" spans="1:23" ht="13" x14ac:dyDescent="0.15">
      <c r="A503" s="2">
        <v>45645.481250960649</v>
      </c>
      <c r="B503" s="3" t="s">
        <v>174</v>
      </c>
      <c r="Q503" s="3" t="s">
        <v>231</v>
      </c>
      <c r="T503" s="3" t="s">
        <v>53</v>
      </c>
      <c r="U503" s="3"/>
      <c r="V503" s="3"/>
      <c r="W503" s="3"/>
    </row>
    <row r="504" spans="1:23" ht="13" x14ac:dyDescent="0.15">
      <c r="A504" s="2">
        <v>45645.48169753472</v>
      </c>
      <c r="B504" s="3" t="s">
        <v>174</v>
      </c>
      <c r="Q504" s="3" t="s">
        <v>266</v>
      </c>
      <c r="T504" s="3" t="s">
        <v>53</v>
      </c>
      <c r="U504" s="3"/>
      <c r="V504" s="3"/>
      <c r="W504" s="3"/>
    </row>
    <row r="505" spans="1:23" ht="13" x14ac:dyDescent="0.15">
      <c r="A505" s="2">
        <v>45646.497175509256</v>
      </c>
      <c r="B505" s="3" t="s">
        <v>91</v>
      </c>
      <c r="M505" s="3">
        <v>12</v>
      </c>
      <c r="T505" s="3" t="s">
        <v>33</v>
      </c>
      <c r="U505" s="3"/>
      <c r="V505" s="3"/>
      <c r="W505" s="3"/>
    </row>
    <row r="506" spans="1:23" ht="13" x14ac:dyDescent="0.15">
      <c r="A506" s="2">
        <v>45646.506250300925</v>
      </c>
      <c r="B506" s="3" t="s">
        <v>141</v>
      </c>
      <c r="D506" s="3">
        <v>15</v>
      </c>
      <c r="G506" s="3">
        <v>30</v>
      </c>
      <c r="H506" s="3">
        <v>10</v>
      </c>
      <c r="J506" s="3" t="s">
        <v>77</v>
      </c>
      <c r="K506" s="3" t="s">
        <v>139</v>
      </c>
      <c r="L506" s="3" t="s">
        <v>267</v>
      </c>
      <c r="P506" s="3" t="s">
        <v>268</v>
      </c>
      <c r="Q506" s="3" t="s">
        <v>269</v>
      </c>
      <c r="T506" s="3" t="s">
        <v>59</v>
      </c>
      <c r="U506" s="3"/>
      <c r="V506" s="3"/>
      <c r="W506" s="3"/>
    </row>
    <row r="507" spans="1:23" ht="13" x14ac:dyDescent="0.15">
      <c r="A507" s="2">
        <v>45646.50717217593</v>
      </c>
      <c r="B507" s="3" t="s">
        <v>141</v>
      </c>
      <c r="D507" s="3">
        <v>17</v>
      </c>
      <c r="G507" s="3">
        <v>30</v>
      </c>
      <c r="H507" s="3">
        <v>8</v>
      </c>
      <c r="J507" s="3" t="s">
        <v>25</v>
      </c>
      <c r="K507" s="3" t="s">
        <v>66</v>
      </c>
      <c r="L507" s="3" t="s">
        <v>270</v>
      </c>
      <c r="T507" s="3" t="s">
        <v>59</v>
      </c>
      <c r="U507" s="3"/>
      <c r="V507" s="3"/>
      <c r="W507" s="3"/>
    </row>
    <row r="508" spans="1:23" ht="13" x14ac:dyDescent="0.15">
      <c r="A508" s="2">
        <v>45663.434906747687</v>
      </c>
      <c r="B508" s="3" t="s">
        <v>271</v>
      </c>
      <c r="D508" s="3" t="s">
        <v>272</v>
      </c>
      <c r="F508" s="3" t="s">
        <v>273</v>
      </c>
      <c r="G508" s="3" t="s">
        <v>274</v>
      </c>
      <c r="H508" s="3" t="s">
        <v>275</v>
      </c>
      <c r="I508" s="3" t="s">
        <v>102</v>
      </c>
      <c r="J508" s="3" t="s">
        <v>25</v>
      </c>
      <c r="K508" s="3" t="s">
        <v>142</v>
      </c>
      <c r="L508" s="3" t="s">
        <v>276</v>
      </c>
      <c r="M508" s="3" t="s">
        <v>277</v>
      </c>
      <c r="P508" s="3" t="s">
        <v>153</v>
      </c>
      <c r="Q508" s="3" t="s">
        <v>278</v>
      </c>
      <c r="R508" s="3" t="s">
        <v>279</v>
      </c>
      <c r="S508" s="3">
        <v>2</v>
      </c>
      <c r="T508" s="3" t="s">
        <v>57</v>
      </c>
      <c r="U508" s="3"/>
      <c r="V508" s="3"/>
      <c r="W508" s="3"/>
    </row>
    <row r="509" spans="1:23" ht="13" x14ac:dyDescent="0.15">
      <c r="A509" s="2">
        <v>45663.568794548613</v>
      </c>
      <c r="B509" s="3" t="s">
        <v>241</v>
      </c>
      <c r="D509" s="3">
        <v>4</v>
      </c>
      <c r="G509" s="3">
        <v>59</v>
      </c>
      <c r="H509" s="3">
        <v>35</v>
      </c>
      <c r="R509" s="3" t="s">
        <v>280</v>
      </c>
      <c r="T509" s="3" t="s">
        <v>63</v>
      </c>
      <c r="U509" s="3"/>
      <c r="V509" s="3"/>
      <c r="W509" s="3"/>
    </row>
    <row r="510" spans="1:23" ht="13" x14ac:dyDescent="0.15">
      <c r="A510" s="2">
        <v>45663.569523229162</v>
      </c>
      <c r="B510" s="3" t="s">
        <v>241</v>
      </c>
      <c r="R510" s="3" t="s">
        <v>281</v>
      </c>
      <c r="T510" s="3" t="s">
        <v>63</v>
      </c>
      <c r="U510" s="3"/>
      <c r="V510" s="3"/>
      <c r="W510" s="3"/>
    </row>
    <row r="511" spans="1:23" ht="13" x14ac:dyDescent="0.15">
      <c r="A511" s="2">
        <v>45664.324879942127</v>
      </c>
      <c r="B511" s="3" t="s">
        <v>178</v>
      </c>
      <c r="D511" s="3">
        <v>360</v>
      </c>
      <c r="F511" s="8">
        <v>11000</v>
      </c>
      <c r="G511" s="3">
        <v>25</v>
      </c>
      <c r="H511" s="3">
        <v>75</v>
      </c>
      <c r="I511" s="3" t="s">
        <v>24</v>
      </c>
      <c r="J511" s="3" t="s">
        <v>77</v>
      </c>
      <c r="K511" s="3" t="s">
        <v>146</v>
      </c>
      <c r="L511" s="3" t="s">
        <v>150</v>
      </c>
      <c r="M511" s="3">
        <v>20</v>
      </c>
      <c r="Q511" s="3" t="s">
        <v>282</v>
      </c>
      <c r="R511" s="3" t="s">
        <v>283</v>
      </c>
      <c r="S511" s="3">
        <v>12</v>
      </c>
      <c r="T511" s="3" t="s">
        <v>46</v>
      </c>
      <c r="U511" s="3"/>
      <c r="V511" s="3"/>
      <c r="W511" s="3"/>
    </row>
    <row r="512" spans="1:23" ht="13" x14ac:dyDescent="0.15">
      <c r="A512" s="2">
        <v>45664.32555199074</v>
      </c>
      <c r="B512" s="3" t="s">
        <v>178</v>
      </c>
      <c r="R512" s="3" t="s">
        <v>284</v>
      </c>
      <c r="T512" s="3" t="s">
        <v>46</v>
      </c>
      <c r="U512" s="3"/>
      <c r="V512" s="3"/>
      <c r="W512" s="3"/>
    </row>
    <row r="513" spans="1:23" ht="13" x14ac:dyDescent="0.15">
      <c r="A513" s="2">
        <v>45664.325859039353</v>
      </c>
      <c r="B513" s="3" t="s">
        <v>178</v>
      </c>
      <c r="R513" s="3" t="s">
        <v>285</v>
      </c>
      <c r="T513" s="3" t="s">
        <v>46</v>
      </c>
      <c r="U513" s="3"/>
      <c r="V513" s="3"/>
      <c r="W513" s="3"/>
    </row>
    <row r="514" spans="1:23" ht="13" x14ac:dyDescent="0.15">
      <c r="A514" s="2">
        <v>45664.354468391204</v>
      </c>
      <c r="B514" s="3" t="s">
        <v>286</v>
      </c>
      <c r="D514" s="3">
        <v>20</v>
      </c>
      <c r="F514" s="3">
        <v>0</v>
      </c>
      <c r="G514" s="3">
        <v>100</v>
      </c>
      <c r="I514" s="3" t="s">
        <v>102</v>
      </c>
      <c r="J514" s="3" t="s">
        <v>77</v>
      </c>
      <c r="K514" s="3" t="s">
        <v>146</v>
      </c>
      <c r="L514" s="3" t="s">
        <v>71</v>
      </c>
      <c r="M514" s="3" t="s">
        <v>287</v>
      </c>
      <c r="Q514" s="3" t="s">
        <v>288</v>
      </c>
      <c r="R514" s="3" t="s">
        <v>289</v>
      </c>
      <c r="S514" s="3">
        <v>8</v>
      </c>
      <c r="T514" s="3" t="s">
        <v>31</v>
      </c>
      <c r="U514" s="3"/>
      <c r="V514" s="3"/>
      <c r="W514" s="3"/>
    </row>
    <row r="515" spans="1:23" ht="13" x14ac:dyDescent="0.15">
      <c r="A515" s="2">
        <v>45664.365837349542</v>
      </c>
      <c r="B515" s="3" t="s">
        <v>149</v>
      </c>
      <c r="D515" s="3">
        <v>8</v>
      </c>
      <c r="G515" s="3">
        <v>30</v>
      </c>
      <c r="H515" s="3">
        <v>5</v>
      </c>
      <c r="I515" s="3" t="s">
        <v>84</v>
      </c>
      <c r="J515" s="3" t="s">
        <v>77</v>
      </c>
      <c r="K515" s="3" t="s">
        <v>151</v>
      </c>
      <c r="T515" s="3" t="s">
        <v>45</v>
      </c>
      <c r="U515" s="3"/>
      <c r="V515" s="3"/>
      <c r="W515" s="3"/>
    </row>
    <row r="516" spans="1:23" ht="13" x14ac:dyDescent="0.15">
      <c r="A516" s="2">
        <v>45664.366235208334</v>
      </c>
      <c r="B516" s="3" t="s">
        <v>149</v>
      </c>
      <c r="D516" s="3">
        <v>2</v>
      </c>
      <c r="I516" s="3" t="s">
        <v>102</v>
      </c>
      <c r="J516" s="3" t="s">
        <v>70</v>
      </c>
      <c r="K516" s="3" t="s">
        <v>152</v>
      </c>
      <c r="P516" s="3" t="s">
        <v>28</v>
      </c>
      <c r="T516" s="3" t="s">
        <v>45</v>
      </c>
      <c r="U516" s="3"/>
      <c r="V516" s="3"/>
      <c r="W516" s="3"/>
    </row>
    <row r="517" spans="1:23" ht="13" x14ac:dyDescent="0.15">
      <c r="A517" s="2">
        <v>45665.342877372685</v>
      </c>
      <c r="B517" s="3" t="s">
        <v>47</v>
      </c>
      <c r="H517" s="3">
        <v>35</v>
      </c>
      <c r="Q517" s="3" t="s">
        <v>290</v>
      </c>
      <c r="R517" s="3" t="s">
        <v>291</v>
      </c>
      <c r="T517" s="3" t="s">
        <v>50</v>
      </c>
      <c r="U517" s="3"/>
      <c r="V517" s="3"/>
      <c r="W517" s="3"/>
    </row>
    <row r="518" spans="1:23" ht="13" x14ac:dyDescent="0.15">
      <c r="A518" s="2">
        <v>45665.343402604165</v>
      </c>
      <c r="B518" s="3" t="s">
        <v>47</v>
      </c>
      <c r="Q518" s="3" t="s">
        <v>240</v>
      </c>
      <c r="T518" s="3" t="s">
        <v>50</v>
      </c>
      <c r="U518" s="3"/>
      <c r="V518" s="3"/>
      <c r="W518" s="3"/>
    </row>
    <row r="519" spans="1:23" ht="13" x14ac:dyDescent="0.15">
      <c r="A519" s="2">
        <v>45665.345299641209</v>
      </c>
      <c r="B519" s="3" t="s">
        <v>47</v>
      </c>
      <c r="M519" s="3">
        <v>153</v>
      </c>
      <c r="T519" s="3" t="s">
        <v>50</v>
      </c>
      <c r="U519" s="3"/>
      <c r="V519" s="3"/>
      <c r="W519" s="3"/>
    </row>
    <row r="520" spans="1:23" ht="13" x14ac:dyDescent="0.15">
      <c r="A520" s="2">
        <v>45665.540040833337</v>
      </c>
      <c r="B520" s="3" t="s">
        <v>69</v>
      </c>
      <c r="D520" s="3">
        <v>8</v>
      </c>
      <c r="G520" s="3">
        <v>3</v>
      </c>
      <c r="H520" s="3">
        <v>5</v>
      </c>
      <c r="I520" s="3" t="s">
        <v>24</v>
      </c>
      <c r="J520" s="3" t="s">
        <v>25</v>
      </c>
      <c r="K520" s="3" t="s">
        <v>41</v>
      </c>
      <c r="P520" s="3" t="s">
        <v>28</v>
      </c>
      <c r="R520" s="3" t="s">
        <v>292</v>
      </c>
      <c r="S520" s="3">
        <v>1</v>
      </c>
      <c r="T520" s="3" t="s">
        <v>54</v>
      </c>
      <c r="U520" s="3"/>
      <c r="V520" s="3"/>
      <c r="W520" s="3"/>
    </row>
    <row r="521" spans="1:23" ht="13" x14ac:dyDescent="0.15">
      <c r="A521" s="2">
        <v>45665.540353402779</v>
      </c>
      <c r="B521" s="3" t="s">
        <v>69</v>
      </c>
      <c r="R521" s="3" t="s">
        <v>229</v>
      </c>
      <c r="T521" s="3" t="s">
        <v>54</v>
      </c>
      <c r="U521" s="3"/>
      <c r="V521" s="3"/>
      <c r="W521" s="3"/>
    </row>
    <row r="522" spans="1:23" ht="13" x14ac:dyDescent="0.15">
      <c r="A522" s="2">
        <v>45665.54265668981</v>
      </c>
      <c r="B522" s="3" t="s">
        <v>69</v>
      </c>
      <c r="G522" s="3">
        <v>3</v>
      </c>
      <c r="P522" s="3" t="s">
        <v>28</v>
      </c>
      <c r="Q522" s="3" t="s">
        <v>293</v>
      </c>
      <c r="R522" s="3" t="s">
        <v>89</v>
      </c>
      <c r="T522" s="3" t="s">
        <v>54</v>
      </c>
      <c r="U522" s="3"/>
      <c r="V522" s="3"/>
      <c r="W522" s="3"/>
    </row>
    <row r="523" spans="1:23" ht="13" x14ac:dyDescent="0.15">
      <c r="A523" s="2">
        <v>45665.543268796297</v>
      </c>
      <c r="B523" s="3" t="s">
        <v>69</v>
      </c>
      <c r="R523" s="3" t="s">
        <v>294</v>
      </c>
      <c r="T523" s="3" t="s">
        <v>54</v>
      </c>
      <c r="U523" s="3"/>
      <c r="V523" s="3"/>
      <c r="W523" s="3"/>
    </row>
    <row r="524" spans="1:23" ht="13" x14ac:dyDescent="0.15">
      <c r="A524" s="2">
        <v>45667.383880497684</v>
      </c>
      <c r="B524" s="3" t="s">
        <v>295</v>
      </c>
      <c r="D524" s="3">
        <v>26</v>
      </c>
      <c r="F524" s="8">
        <v>2600</v>
      </c>
      <c r="G524" s="3">
        <v>50</v>
      </c>
      <c r="H524" s="3">
        <v>10</v>
      </c>
      <c r="I524" s="3" t="s">
        <v>24</v>
      </c>
      <c r="J524" s="3" t="s">
        <v>77</v>
      </c>
      <c r="K524" s="3" t="s">
        <v>138</v>
      </c>
      <c r="L524" s="3" t="s">
        <v>150</v>
      </c>
      <c r="M524" s="3" t="s">
        <v>296</v>
      </c>
      <c r="P524" s="3" t="s">
        <v>297</v>
      </c>
      <c r="Q524" s="3" t="s">
        <v>298</v>
      </c>
      <c r="R524" s="3" t="s">
        <v>299</v>
      </c>
      <c r="S524" s="3">
        <v>4</v>
      </c>
      <c r="T524" s="3" t="s">
        <v>32</v>
      </c>
      <c r="U524" s="3"/>
      <c r="V524" s="3"/>
      <c r="W524" s="3"/>
    </row>
    <row r="525" spans="1:23" ht="13" x14ac:dyDescent="0.15">
      <c r="A525" s="2">
        <v>45667.384430300925</v>
      </c>
      <c r="B525" s="3" t="s">
        <v>295</v>
      </c>
      <c r="D525" s="3">
        <v>4</v>
      </c>
      <c r="I525" s="3" t="s">
        <v>84</v>
      </c>
      <c r="J525" s="3" t="s">
        <v>25</v>
      </c>
      <c r="K525" s="3" t="s">
        <v>151</v>
      </c>
      <c r="R525" s="3" t="s">
        <v>300</v>
      </c>
      <c r="T525" s="3" t="s">
        <v>32</v>
      </c>
      <c r="U525" s="3"/>
      <c r="V525" s="3"/>
      <c r="W525" s="3"/>
    </row>
    <row r="526" spans="1:23" ht="13" x14ac:dyDescent="0.15">
      <c r="A526" s="2">
        <v>45667.38527319445</v>
      </c>
      <c r="B526" s="3" t="s">
        <v>295</v>
      </c>
      <c r="D526" s="3">
        <v>12</v>
      </c>
      <c r="I526" s="3" t="s">
        <v>35</v>
      </c>
      <c r="J526" s="3" t="s">
        <v>103</v>
      </c>
      <c r="K526" s="3" t="s">
        <v>146</v>
      </c>
      <c r="P526" s="3" t="s">
        <v>49</v>
      </c>
      <c r="R526" s="3" t="s">
        <v>301</v>
      </c>
      <c r="T526" s="3" t="s">
        <v>32</v>
      </c>
      <c r="U526" s="3"/>
      <c r="V526" s="3"/>
      <c r="W526" s="3"/>
    </row>
    <row r="527" spans="1:23" ht="13" x14ac:dyDescent="0.15">
      <c r="A527" s="2">
        <v>45667.56816693287</v>
      </c>
      <c r="B527" s="3" t="s">
        <v>238</v>
      </c>
      <c r="H527" s="3">
        <v>6</v>
      </c>
      <c r="I527" s="3" t="s">
        <v>35</v>
      </c>
      <c r="L527" s="3" t="s">
        <v>261</v>
      </c>
      <c r="M527" s="3">
        <v>7</v>
      </c>
      <c r="S527" s="3">
        <v>1</v>
      </c>
      <c r="T527" s="3" t="s">
        <v>42</v>
      </c>
      <c r="U527" s="3"/>
      <c r="V527" s="3"/>
      <c r="W527" s="3"/>
    </row>
    <row r="528" spans="1:23" ht="13" x14ac:dyDescent="0.15">
      <c r="A528" s="2">
        <v>45667.611846006941</v>
      </c>
      <c r="B528" s="3" t="s">
        <v>238</v>
      </c>
      <c r="I528" s="3" t="s">
        <v>24</v>
      </c>
      <c r="J528" s="3" t="s">
        <v>25</v>
      </c>
      <c r="K528" s="3" t="s">
        <v>140</v>
      </c>
      <c r="T528" s="3" t="s">
        <v>42</v>
      </c>
      <c r="U528" s="3"/>
      <c r="V528" s="3"/>
      <c r="W528" s="3"/>
    </row>
    <row r="529" spans="1:23" ht="13" x14ac:dyDescent="0.15">
      <c r="A529" s="2">
        <v>45667.612238344911</v>
      </c>
      <c r="B529" s="3" t="s">
        <v>238</v>
      </c>
      <c r="I529" s="3" t="s">
        <v>24</v>
      </c>
      <c r="J529" s="3" t="s">
        <v>25</v>
      </c>
      <c r="K529" s="3" t="s">
        <v>140</v>
      </c>
      <c r="T529" s="3" t="s">
        <v>42</v>
      </c>
      <c r="U529" s="3"/>
      <c r="V529" s="3"/>
      <c r="W529" s="3"/>
    </row>
    <row r="530" spans="1:23" ht="13" x14ac:dyDescent="0.15">
      <c r="A530" s="2">
        <v>45667.612567881944</v>
      </c>
      <c r="B530" s="3" t="s">
        <v>238</v>
      </c>
      <c r="I530" s="3" t="s">
        <v>24</v>
      </c>
      <c r="J530" s="3" t="s">
        <v>77</v>
      </c>
      <c r="K530" s="3" t="s">
        <v>26</v>
      </c>
      <c r="T530" s="3" t="s">
        <v>42</v>
      </c>
      <c r="U530" s="3"/>
      <c r="V530" s="3"/>
      <c r="W530" s="3"/>
    </row>
    <row r="531" spans="1:23" ht="13" x14ac:dyDescent="0.15">
      <c r="A531" s="2">
        <v>45667.613304988423</v>
      </c>
      <c r="B531" s="3" t="s">
        <v>238</v>
      </c>
      <c r="I531" s="3" t="s">
        <v>35</v>
      </c>
      <c r="J531" s="3" t="s">
        <v>103</v>
      </c>
      <c r="K531" s="3" t="s">
        <v>146</v>
      </c>
      <c r="T531" s="3" t="s">
        <v>42</v>
      </c>
      <c r="U531" s="3"/>
      <c r="V531" s="3"/>
      <c r="W531" s="3"/>
    </row>
    <row r="532" spans="1:23" ht="13" x14ac:dyDescent="0.15">
      <c r="A532" s="2">
        <v>45667.613858541663</v>
      </c>
      <c r="B532" s="3" t="s">
        <v>238</v>
      </c>
      <c r="I532" s="3" t="s">
        <v>35</v>
      </c>
      <c r="J532" s="3" t="s">
        <v>103</v>
      </c>
      <c r="K532" s="3" t="s">
        <v>146</v>
      </c>
      <c r="T532" s="3" t="s">
        <v>42</v>
      </c>
      <c r="U532" s="3"/>
      <c r="V532" s="3"/>
      <c r="W532" s="3"/>
    </row>
    <row r="533" spans="1:23" ht="13" x14ac:dyDescent="0.15">
      <c r="A533" s="2">
        <v>45667.61420924768</v>
      </c>
      <c r="B533" s="3" t="s">
        <v>238</v>
      </c>
      <c r="I533" s="3" t="s">
        <v>102</v>
      </c>
      <c r="J533" s="3" t="s">
        <v>25</v>
      </c>
      <c r="K533" s="3" t="s">
        <v>146</v>
      </c>
      <c r="T533" s="3" t="s">
        <v>42</v>
      </c>
      <c r="U533" s="3"/>
      <c r="V533" s="3"/>
      <c r="W533" s="3"/>
    </row>
    <row r="534" spans="1:23" ht="13" x14ac:dyDescent="0.15">
      <c r="A534" s="2">
        <v>45667.615134374995</v>
      </c>
      <c r="B534" s="3" t="s">
        <v>238</v>
      </c>
      <c r="I534" s="3" t="s">
        <v>76</v>
      </c>
      <c r="J534" s="3" t="s">
        <v>77</v>
      </c>
      <c r="K534" s="3" t="s">
        <v>151</v>
      </c>
      <c r="T534" s="3" t="s">
        <v>42</v>
      </c>
      <c r="U534" s="3"/>
      <c r="V534" s="3"/>
      <c r="W534" s="3"/>
    </row>
    <row r="535" spans="1:23" ht="13" x14ac:dyDescent="0.15">
      <c r="A535" s="2">
        <v>45667.615455497682</v>
      </c>
      <c r="B535" s="3" t="s">
        <v>238</v>
      </c>
      <c r="I535" s="3" t="s">
        <v>35</v>
      </c>
      <c r="J535" s="3" t="s">
        <v>103</v>
      </c>
      <c r="K535" s="3" t="s">
        <v>138</v>
      </c>
      <c r="T535" s="3" t="s">
        <v>42</v>
      </c>
      <c r="U535" s="3"/>
      <c r="V535" s="3"/>
      <c r="W535" s="3"/>
    </row>
    <row r="536" spans="1:23" ht="13" x14ac:dyDescent="0.15">
      <c r="A536" s="2">
        <v>45667.615956979163</v>
      </c>
      <c r="B536" s="3" t="s">
        <v>238</v>
      </c>
      <c r="I536" s="3" t="s">
        <v>76</v>
      </c>
      <c r="J536" s="3" t="s">
        <v>77</v>
      </c>
      <c r="K536" s="3" t="s">
        <v>151</v>
      </c>
      <c r="T536" s="3" t="s">
        <v>42</v>
      </c>
      <c r="U536" s="3"/>
      <c r="V536" s="3"/>
      <c r="W536" s="3"/>
    </row>
    <row r="537" spans="1:23" ht="13" x14ac:dyDescent="0.15">
      <c r="A537" s="2">
        <v>45667.616839699069</v>
      </c>
      <c r="B537" s="3" t="s">
        <v>238</v>
      </c>
      <c r="I537" s="3" t="s">
        <v>76</v>
      </c>
      <c r="J537" s="3" t="s">
        <v>77</v>
      </c>
      <c r="K537" s="3" t="s">
        <v>142</v>
      </c>
      <c r="T537" s="3" t="s">
        <v>42</v>
      </c>
      <c r="U537" s="3"/>
      <c r="V537" s="3"/>
      <c r="W537" s="3"/>
    </row>
    <row r="538" spans="1:23" ht="13" x14ac:dyDescent="0.15">
      <c r="A538" s="2">
        <v>45667.6172481713</v>
      </c>
      <c r="B538" s="3" t="s">
        <v>238</v>
      </c>
      <c r="I538" s="3" t="s">
        <v>35</v>
      </c>
      <c r="J538" s="3" t="s">
        <v>25</v>
      </c>
      <c r="K538" s="3" t="s">
        <v>146</v>
      </c>
      <c r="T538" s="3" t="s">
        <v>42</v>
      </c>
      <c r="U538" s="3"/>
      <c r="V538" s="3"/>
      <c r="W538" s="3"/>
    </row>
    <row r="539" spans="1:23" ht="13" x14ac:dyDescent="0.15">
      <c r="A539" s="2">
        <v>45667.617520486107</v>
      </c>
      <c r="B539" s="3" t="s">
        <v>238</v>
      </c>
      <c r="I539" s="3" t="s">
        <v>35</v>
      </c>
      <c r="J539" s="3" t="s">
        <v>25</v>
      </c>
      <c r="K539" s="3" t="s">
        <v>140</v>
      </c>
      <c r="T539" s="3" t="s">
        <v>42</v>
      </c>
      <c r="U539" s="3"/>
      <c r="V539" s="3"/>
      <c r="W539" s="3"/>
    </row>
    <row r="540" spans="1:23" ht="13" x14ac:dyDescent="0.15">
      <c r="A540" s="2">
        <v>45667.617818252314</v>
      </c>
      <c r="B540" s="3" t="s">
        <v>238</v>
      </c>
      <c r="I540" s="3" t="s">
        <v>24</v>
      </c>
      <c r="J540" s="3" t="s">
        <v>77</v>
      </c>
      <c r="K540" s="3" t="s">
        <v>139</v>
      </c>
      <c r="T540" s="3" t="s">
        <v>42</v>
      </c>
      <c r="U540" s="3"/>
      <c r="V540" s="3"/>
      <c r="W540" s="3"/>
    </row>
    <row r="541" spans="1:23" ht="13" x14ac:dyDescent="0.15">
      <c r="A541" s="2">
        <v>45667.618066863426</v>
      </c>
      <c r="B541" s="3" t="s">
        <v>238</v>
      </c>
      <c r="I541" s="3" t="s">
        <v>35</v>
      </c>
      <c r="J541" s="3" t="s">
        <v>77</v>
      </c>
      <c r="K541" s="3" t="s">
        <v>139</v>
      </c>
      <c r="T541" s="3" t="s">
        <v>42</v>
      </c>
      <c r="U541" s="3"/>
      <c r="V541" s="3"/>
      <c r="W541" s="3"/>
    </row>
    <row r="542" spans="1:23" ht="13" x14ac:dyDescent="0.15">
      <c r="A542" s="2">
        <v>45667.618365856484</v>
      </c>
      <c r="B542" s="3" t="s">
        <v>238</v>
      </c>
      <c r="I542" s="3" t="s">
        <v>35</v>
      </c>
      <c r="J542" s="3" t="s">
        <v>103</v>
      </c>
      <c r="K542" s="3" t="s">
        <v>151</v>
      </c>
      <c r="T542" s="3" t="s">
        <v>42</v>
      </c>
      <c r="U542" s="3"/>
      <c r="V542" s="3"/>
      <c r="W542" s="3"/>
    </row>
    <row r="543" spans="1:23" ht="13" x14ac:dyDescent="0.15">
      <c r="A543" s="2">
        <v>45667.621356157411</v>
      </c>
      <c r="B543" s="3" t="s">
        <v>238</v>
      </c>
      <c r="I543" s="3" t="s">
        <v>24</v>
      </c>
      <c r="J543" s="3" t="s">
        <v>25</v>
      </c>
      <c r="K543" s="3" t="s">
        <v>142</v>
      </c>
      <c r="T543" s="3" t="s">
        <v>42</v>
      </c>
      <c r="U543" s="3"/>
      <c r="V543" s="3"/>
      <c r="W543" s="3"/>
    </row>
    <row r="544" spans="1:23" ht="13" x14ac:dyDescent="0.15">
      <c r="A544" s="2">
        <v>45667.648666122681</v>
      </c>
      <c r="B544" s="3" t="s">
        <v>238</v>
      </c>
      <c r="I544" s="3" t="s">
        <v>35</v>
      </c>
      <c r="J544" s="3" t="s">
        <v>65</v>
      </c>
      <c r="K544" s="3" t="s">
        <v>139</v>
      </c>
      <c r="T544" s="3" t="s">
        <v>42</v>
      </c>
      <c r="U544" s="3"/>
      <c r="V544" s="3"/>
      <c r="W544" s="3"/>
    </row>
    <row r="545" spans="1:23" ht="13" x14ac:dyDescent="0.15">
      <c r="A545" s="2">
        <v>45667.648889085649</v>
      </c>
      <c r="B545" s="3" t="s">
        <v>238</v>
      </c>
      <c r="I545" s="3" t="s">
        <v>35</v>
      </c>
      <c r="J545" s="3" t="s">
        <v>65</v>
      </c>
      <c r="K545" s="3" t="s">
        <v>138</v>
      </c>
      <c r="T545" s="3" t="s">
        <v>42</v>
      </c>
      <c r="U545" s="3"/>
      <c r="V545" s="3"/>
      <c r="W545" s="3"/>
    </row>
    <row r="546" spans="1:23" ht="13" x14ac:dyDescent="0.15">
      <c r="A546" s="2">
        <v>45667.64911993056</v>
      </c>
      <c r="B546" s="3" t="s">
        <v>238</v>
      </c>
      <c r="I546" s="3" t="s">
        <v>35</v>
      </c>
      <c r="J546" s="3" t="s">
        <v>65</v>
      </c>
      <c r="K546" s="3" t="s">
        <v>146</v>
      </c>
      <c r="T546" s="3" t="s">
        <v>42</v>
      </c>
      <c r="U546" s="3"/>
      <c r="V546" s="3"/>
      <c r="W546" s="3"/>
    </row>
    <row r="547" spans="1:23" ht="13" x14ac:dyDescent="0.15">
      <c r="A547" s="2">
        <v>45667.64931400463</v>
      </c>
      <c r="B547" s="3" t="s">
        <v>238</v>
      </c>
      <c r="I547" s="3" t="s">
        <v>35</v>
      </c>
      <c r="J547" s="3" t="s">
        <v>65</v>
      </c>
      <c r="K547" s="3" t="s">
        <v>151</v>
      </c>
      <c r="T547" s="3" t="s">
        <v>42</v>
      </c>
      <c r="U547" s="3"/>
      <c r="V547" s="3"/>
      <c r="W547" s="3"/>
    </row>
    <row r="548" spans="1:23" ht="13" x14ac:dyDescent="0.15">
      <c r="A548" s="2">
        <v>45667.649522673615</v>
      </c>
      <c r="B548" s="3" t="s">
        <v>238</v>
      </c>
      <c r="I548" s="3" t="s">
        <v>35</v>
      </c>
      <c r="J548" s="3" t="s">
        <v>65</v>
      </c>
      <c r="K548" s="3" t="s">
        <v>142</v>
      </c>
      <c r="T548" s="3" t="s">
        <v>42</v>
      </c>
      <c r="U548" s="3"/>
      <c r="V548" s="3"/>
      <c r="W548" s="3"/>
    </row>
    <row r="549" spans="1:23" ht="13" x14ac:dyDescent="0.15">
      <c r="A549" s="2">
        <v>45670.459796284718</v>
      </c>
      <c r="B549" s="3" t="s">
        <v>141</v>
      </c>
      <c r="D549" s="3">
        <v>25</v>
      </c>
      <c r="G549" s="3">
        <v>20</v>
      </c>
      <c r="H549" s="3">
        <v>10</v>
      </c>
      <c r="I549" s="3" t="s">
        <v>35</v>
      </c>
      <c r="J549" s="3" t="s">
        <v>103</v>
      </c>
      <c r="K549" s="3" t="s">
        <v>142</v>
      </c>
      <c r="L549" s="3" t="s">
        <v>248</v>
      </c>
      <c r="P549" s="3" t="s">
        <v>302</v>
      </c>
      <c r="S549" s="3">
        <v>0</v>
      </c>
      <c r="T549" s="3" t="s">
        <v>59</v>
      </c>
      <c r="U549" s="3"/>
      <c r="V549" s="3"/>
      <c r="W549" s="3"/>
    </row>
    <row r="550" spans="1:23" ht="13" x14ac:dyDescent="0.15">
      <c r="A550" s="2">
        <v>45672.329223611116</v>
      </c>
      <c r="B550" s="3" t="s">
        <v>51</v>
      </c>
      <c r="C550" s="3">
        <v>1384</v>
      </c>
      <c r="N550" s="3">
        <v>153</v>
      </c>
      <c r="T550" s="3" t="s">
        <v>31</v>
      </c>
      <c r="U550" s="3"/>
      <c r="V550" s="3"/>
      <c r="W550" s="3"/>
    </row>
    <row r="551" spans="1:23" ht="13" x14ac:dyDescent="0.15">
      <c r="A551" s="2">
        <v>45672.329655266207</v>
      </c>
      <c r="B551" s="3" t="s">
        <v>51</v>
      </c>
      <c r="C551" s="3">
        <v>1795</v>
      </c>
      <c r="N551" s="3">
        <v>125</v>
      </c>
      <c r="T551" s="3" t="s">
        <v>42</v>
      </c>
      <c r="U551" s="3"/>
      <c r="V551" s="3"/>
      <c r="W551" s="3"/>
    </row>
    <row r="552" spans="1:23" ht="13" x14ac:dyDescent="0.15">
      <c r="A552" s="2">
        <v>45672.330076828701</v>
      </c>
      <c r="B552" s="3" t="s">
        <v>51</v>
      </c>
      <c r="C552" s="3">
        <v>1463</v>
      </c>
      <c r="N552" s="3">
        <v>193</v>
      </c>
      <c r="T552" s="3" t="s">
        <v>32</v>
      </c>
      <c r="U552" s="3"/>
      <c r="V552" s="3"/>
      <c r="W552" s="3"/>
    </row>
    <row r="553" spans="1:23" ht="13" x14ac:dyDescent="0.15">
      <c r="A553" s="2">
        <v>45672.331052395835</v>
      </c>
      <c r="B553" s="3" t="s">
        <v>51</v>
      </c>
      <c r="C553" s="3">
        <v>850</v>
      </c>
      <c r="N553" s="3">
        <v>18</v>
      </c>
      <c r="T553" s="3" t="s">
        <v>43</v>
      </c>
      <c r="U553" s="3"/>
      <c r="V553" s="3"/>
      <c r="W553" s="3"/>
    </row>
    <row r="554" spans="1:23" ht="13" x14ac:dyDescent="0.15">
      <c r="A554" s="2">
        <v>45672.334946620365</v>
      </c>
      <c r="B554" s="3" t="s">
        <v>51</v>
      </c>
      <c r="C554" s="3">
        <v>1170</v>
      </c>
      <c r="N554" s="3">
        <v>26</v>
      </c>
      <c r="T554" s="3" t="s">
        <v>44</v>
      </c>
      <c r="U554" s="3"/>
      <c r="V554" s="3"/>
      <c r="W554" s="3"/>
    </row>
    <row r="555" spans="1:23" ht="13" x14ac:dyDescent="0.15">
      <c r="A555" s="2">
        <v>45672.335548645831</v>
      </c>
      <c r="B555" s="3" t="s">
        <v>51</v>
      </c>
      <c r="C555" s="3">
        <v>749</v>
      </c>
      <c r="N555" s="3">
        <v>0</v>
      </c>
      <c r="T555" s="3" t="s">
        <v>45</v>
      </c>
      <c r="U555" s="3"/>
      <c r="V555" s="3"/>
      <c r="W555" s="3"/>
    </row>
    <row r="556" spans="1:23" ht="13" x14ac:dyDescent="0.15">
      <c r="A556" s="2">
        <v>45672.335947372689</v>
      </c>
      <c r="B556" s="3" t="s">
        <v>51</v>
      </c>
      <c r="C556" s="3">
        <v>479</v>
      </c>
      <c r="N556" s="3">
        <v>18</v>
      </c>
      <c r="T556" s="3" t="s">
        <v>46</v>
      </c>
      <c r="U556" s="3"/>
      <c r="V556" s="3"/>
      <c r="W556" s="3"/>
    </row>
    <row r="557" spans="1:23" ht="13" x14ac:dyDescent="0.15">
      <c r="A557" s="2">
        <v>45672.336358946763</v>
      </c>
      <c r="B557" s="3" t="s">
        <v>51</v>
      </c>
      <c r="C557" s="3">
        <v>942</v>
      </c>
      <c r="N557" s="3">
        <v>75</v>
      </c>
      <c r="T557" s="3" t="s">
        <v>55</v>
      </c>
      <c r="U557" s="3"/>
      <c r="V557" s="3"/>
      <c r="W557" s="3"/>
    </row>
    <row r="558" spans="1:23" ht="13" x14ac:dyDescent="0.15">
      <c r="A558" s="2">
        <v>45672.336697164355</v>
      </c>
      <c r="B558" s="3" t="s">
        <v>51</v>
      </c>
      <c r="C558" s="3">
        <v>920</v>
      </c>
      <c r="N558" s="3">
        <v>1</v>
      </c>
      <c r="T558" s="3" t="s">
        <v>56</v>
      </c>
      <c r="U558" s="3"/>
      <c r="V558" s="3"/>
      <c r="W558" s="3"/>
    </row>
    <row r="559" spans="1:23" ht="13" x14ac:dyDescent="0.15">
      <c r="A559" s="2">
        <v>45672.337197476852</v>
      </c>
      <c r="B559" s="3" t="s">
        <v>51</v>
      </c>
      <c r="C559" s="3">
        <v>616</v>
      </c>
      <c r="N559" s="3">
        <v>66</v>
      </c>
      <c r="T559" s="3" t="s">
        <v>57</v>
      </c>
      <c r="U559" s="3"/>
      <c r="V559" s="3"/>
      <c r="W559" s="3"/>
    </row>
    <row r="560" spans="1:23" ht="13" x14ac:dyDescent="0.15">
      <c r="A560" s="2">
        <v>45672.340519791665</v>
      </c>
      <c r="B560" s="3" t="s">
        <v>51</v>
      </c>
      <c r="C560" s="3">
        <v>1270</v>
      </c>
      <c r="N560" s="3">
        <v>98</v>
      </c>
      <c r="T560" s="3" t="s">
        <v>59</v>
      </c>
      <c r="U560" s="3"/>
      <c r="V560" s="3"/>
      <c r="W560" s="3"/>
    </row>
    <row r="561" spans="1:23" ht="13" x14ac:dyDescent="0.15">
      <c r="A561" s="2">
        <v>45672.340870324071</v>
      </c>
      <c r="B561" s="3" t="s">
        <v>51</v>
      </c>
      <c r="C561" s="3">
        <v>1321</v>
      </c>
      <c r="N561" s="3">
        <v>362</v>
      </c>
      <c r="T561" s="3" t="s">
        <v>60</v>
      </c>
      <c r="U561" s="3"/>
      <c r="V561" s="3"/>
      <c r="W561" s="3"/>
    </row>
    <row r="562" spans="1:23" ht="13" x14ac:dyDescent="0.15">
      <c r="A562" s="2">
        <v>45672.341255578707</v>
      </c>
      <c r="B562" s="3" t="s">
        <v>51</v>
      </c>
      <c r="C562" s="3">
        <v>1171</v>
      </c>
      <c r="N562" s="3">
        <v>0</v>
      </c>
      <c r="T562" s="3" t="s">
        <v>61</v>
      </c>
      <c r="U562" s="3"/>
      <c r="V562" s="3"/>
      <c r="W562" s="3"/>
    </row>
    <row r="563" spans="1:23" ht="13" x14ac:dyDescent="0.15">
      <c r="A563" s="2">
        <v>45672.34163091435</v>
      </c>
      <c r="B563" s="3" t="s">
        <v>51</v>
      </c>
      <c r="C563" s="3">
        <v>1142</v>
      </c>
      <c r="N563" s="3">
        <v>112</v>
      </c>
      <c r="T563" s="3" t="s">
        <v>62</v>
      </c>
      <c r="U563" s="3"/>
      <c r="V563" s="3"/>
      <c r="W563" s="3"/>
    </row>
    <row r="564" spans="1:23" ht="13" x14ac:dyDescent="0.15">
      <c r="A564" s="2">
        <v>45672.345976493059</v>
      </c>
      <c r="B564" s="3" t="s">
        <v>51</v>
      </c>
      <c r="C564" s="3">
        <v>1157</v>
      </c>
      <c r="N564" s="3">
        <v>167</v>
      </c>
      <c r="T564" s="3" t="s">
        <v>63</v>
      </c>
      <c r="U564" s="3"/>
      <c r="V564" s="3"/>
      <c r="W564" s="3"/>
    </row>
    <row r="565" spans="1:23" ht="13" x14ac:dyDescent="0.15">
      <c r="A565" s="2">
        <v>45672.346331886569</v>
      </c>
      <c r="B565" s="3" t="s">
        <v>51</v>
      </c>
      <c r="C565" s="3">
        <v>691</v>
      </c>
      <c r="N565" s="3">
        <v>8</v>
      </c>
      <c r="T565" s="3" t="s">
        <v>64</v>
      </c>
      <c r="U565" s="3"/>
      <c r="V565" s="3"/>
      <c r="W565" s="3"/>
    </row>
    <row r="566" spans="1:23" ht="13" x14ac:dyDescent="0.15">
      <c r="A566" s="2">
        <v>45672.34683086806</v>
      </c>
      <c r="B566" s="3" t="s">
        <v>51</v>
      </c>
      <c r="C566" s="3">
        <v>219</v>
      </c>
      <c r="N566" s="3">
        <v>94</v>
      </c>
      <c r="T566" s="3" t="s">
        <v>39</v>
      </c>
      <c r="U566" s="3"/>
      <c r="V566" s="3"/>
      <c r="W566" s="3"/>
    </row>
    <row r="567" spans="1:23" ht="13" x14ac:dyDescent="0.15">
      <c r="A567" s="2">
        <v>45672.347447256943</v>
      </c>
      <c r="B567" s="3" t="s">
        <v>51</v>
      </c>
      <c r="C567" s="3">
        <v>196</v>
      </c>
      <c r="N567" s="3">
        <v>71</v>
      </c>
      <c r="T567" s="3" t="s">
        <v>52</v>
      </c>
      <c r="U567" s="3"/>
      <c r="V567" s="3"/>
      <c r="W567" s="3"/>
    </row>
    <row r="568" spans="1:23" ht="13" x14ac:dyDescent="0.15">
      <c r="A568" s="2">
        <v>45672.347902731482</v>
      </c>
      <c r="B568" s="3" t="s">
        <v>51</v>
      </c>
      <c r="C568" s="3">
        <v>172</v>
      </c>
      <c r="N568" s="3">
        <v>81</v>
      </c>
      <c r="T568" s="3" t="s">
        <v>53</v>
      </c>
      <c r="U568" s="3"/>
      <c r="V568" s="3"/>
      <c r="W568" s="3"/>
    </row>
    <row r="569" spans="1:23" ht="13" x14ac:dyDescent="0.15">
      <c r="A569" s="2">
        <v>45672.348379085648</v>
      </c>
      <c r="B569" s="3" t="s">
        <v>51</v>
      </c>
      <c r="C569" s="3">
        <v>634</v>
      </c>
      <c r="N569" s="3">
        <v>351</v>
      </c>
      <c r="T569" s="3" t="s">
        <v>54</v>
      </c>
      <c r="U569" s="3"/>
      <c r="V569" s="3"/>
      <c r="W569" s="3"/>
    </row>
    <row r="570" spans="1:23" ht="13" x14ac:dyDescent="0.15">
      <c r="A570" s="2">
        <v>45672.348791863427</v>
      </c>
      <c r="B570" s="3" t="s">
        <v>51</v>
      </c>
      <c r="C570" s="3">
        <v>578</v>
      </c>
      <c r="N570" s="3">
        <v>60</v>
      </c>
      <c r="T570" s="3" t="s">
        <v>50</v>
      </c>
      <c r="U570" s="3"/>
      <c r="V570" s="3"/>
      <c r="W570" s="3"/>
    </row>
    <row r="571" spans="1:23" ht="13" x14ac:dyDescent="0.15">
      <c r="A571" s="2">
        <v>45672.349893506944</v>
      </c>
      <c r="B571" s="3" t="s">
        <v>51</v>
      </c>
      <c r="C571" s="3">
        <v>715</v>
      </c>
      <c r="N571" s="3">
        <v>129</v>
      </c>
      <c r="T571" s="3" t="s">
        <v>33</v>
      </c>
      <c r="U571" s="3"/>
      <c r="V571" s="3"/>
      <c r="W571" s="3"/>
    </row>
    <row r="572" spans="1:23" ht="13" x14ac:dyDescent="0.15">
      <c r="A572" s="2">
        <v>45672.350261793981</v>
      </c>
      <c r="B572" s="3" t="s">
        <v>51</v>
      </c>
      <c r="C572" s="3">
        <v>23</v>
      </c>
      <c r="N572" s="3">
        <v>2</v>
      </c>
      <c r="T572" s="3" t="s">
        <v>67</v>
      </c>
      <c r="U572" s="3"/>
      <c r="V572" s="3"/>
      <c r="W572" s="3"/>
    </row>
    <row r="573" spans="1:23" ht="13" x14ac:dyDescent="0.15">
      <c r="A573" s="2">
        <v>45672.429123055554</v>
      </c>
      <c r="B573" s="3" t="s">
        <v>51</v>
      </c>
      <c r="C573" s="3">
        <v>430</v>
      </c>
      <c r="T573" s="3" t="s">
        <v>58</v>
      </c>
      <c r="U573" s="3"/>
      <c r="V573" s="3"/>
      <c r="W573" s="3"/>
    </row>
    <row r="574" spans="1:23" ht="13" x14ac:dyDescent="0.15">
      <c r="A574" s="2">
        <v>45672.433260787038</v>
      </c>
      <c r="B574" s="3" t="s">
        <v>51</v>
      </c>
      <c r="C574" s="3">
        <v>-27</v>
      </c>
      <c r="T574" s="3" t="s">
        <v>33</v>
      </c>
      <c r="U574" s="3"/>
      <c r="V574" s="3"/>
      <c r="W574" s="3"/>
    </row>
    <row r="575" spans="1:23" ht="13" x14ac:dyDescent="0.15">
      <c r="A575" s="2">
        <v>45672.438630300923</v>
      </c>
      <c r="B575" s="3" t="s">
        <v>51</v>
      </c>
      <c r="C575" s="3">
        <v>-4043</v>
      </c>
      <c r="N575" s="3">
        <v>-454</v>
      </c>
      <c r="T575" s="3" t="s">
        <v>42</v>
      </c>
      <c r="U575" s="3"/>
      <c r="V575" s="3"/>
      <c r="W575" s="3"/>
    </row>
    <row r="576" spans="1:23" ht="13" x14ac:dyDescent="0.15">
      <c r="A576" s="2">
        <v>45672.634661203701</v>
      </c>
      <c r="B576" s="3" t="s">
        <v>141</v>
      </c>
      <c r="D576" s="3">
        <v>15</v>
      </c>
      <c r="F576" s="3">
        <v>500</v>
      </c>
      <c r="G576" s="3">
        <v>20</v>
      </c>
      <c r="H576" s="3">
        <v>5</v>
      </c>
      <c r="I576" s="3" t="s">
        <v>76</v>
      </c>
      <c r="J576" s="3" t="s">
        <v>103</v>
      </c>
      <c r="K576" s="3" t="s">
        <v>142</v>
      </c>
      <c r="L576" s="3" t="s">
        <v>303</v>
      </c>
      <c r="M576" s="3">
        <v>1</v>
      </c>
      <c r="T576" s="3" t="s">
        <v>59</v>
      </c>
      <c r="U576" s="3"/>
      <c r="V576" s="3"/>
      <c r="W576" s="3"/>
    </row>
    <row r="577" spans="1:23" ht="13" x14ac:dyDescent="0.15">
      <c r="A577" s="2">
        <v>45672.635234560184</v>
      </c>
      <c r="B577" s="3" t="s">
        <v>295</v>
      </c>
      <c r="D577" s="3">
        <v>4</v>
      </c>
      <c r="I577" s="3" t="s">
        <v>84</v>
      </c>
      <c r="J577" s="3" t="s">
        <v>25</v>
      </c>
      <c r="K577" s="3" t="s">
        <v>142</v>
      </c>
      <c r="R577" s="3" t="s">
        <v>226</v>
      </c>
      <c r="T577" s="3" t="s">
        <v>32</v>
      </c>
      <c r="U577" s="3"/>
      <c r="V577" s="3"/>
      <c r="W577" s="3"/>
    </row>
    <row r="578" spans="1:23" ht="13" x14ac:dyDescent="0.15">
      <c r="A578" s="2">
        <v>45672.635949236108</v>
      </c>
      <c r="B578" s="3" t="s">
        <v>295</v>
      </c>
      <c r="D578" s="3">
        <v>4</v>
      </c>
      <c r="I578" s="3" t="s">
        <v>35</v>
      </c>
      <c r="J578" s="3" t="s">
        <v>77</v>
      </c>
      <c r="K578" s="3" t="s">
        <v>138</v>
      </c>
      <c r="S578" s="3">
        <v>1</v>
      </c>
      <c r="T578" s="3" t="s">
        <v>32</v>
      </c>
      <c r="U578" s="3"/>
      <c r="V578" s="3"/>
      <c r="W578" s="3"/>
    </row>
    <row r="579" spans="1:23" ht="13" x14ac:dyDescent="0.15">
      <c r="A579" s="2">
        <v>45672.637303275464</v>
      </c>
      <c r="B579" s="3" t="s">
        <v>295</v>
      </c>
      <c r="I579" s="3" t="s">
        <v>82</v>
      </c>
      <c r="Q579" s="3" t="s">
        <v>304</v>
      </c>
      <c r="T579" s="3" t="s">
        <v>32</v>
      </c>
      <c r="U579" s="3"/>
      <c r="V579" s="3"/>
      <c r="W579" s="3"/>
    </row>
    <row r="580" spans="1:23" ht="13" x14ac:dyDescent="0.15">
      <c r="A580" s="2">
        <v>45673.658682187495</v>
      </c>
      <c r="B580" s="3" t="s">
        <v>118</v>
      </c>
      <c r="D580" s="3">
        <v>117</v>
      </c>
      <c r="G580" s="3">
        <v>3</v>
      </c>
      <c r="H580" s="3">
        <v>15</v>
      </c>
      <c r="I580" s="3" t="s">
        <v>76</v>
      </c>
      <c r="J580" s="3" t="s">
        <v>103</v>
      </c>
      <c r="K580" s="3" t="s">
        <v>26</v>
      </c>
      <c r="P580" s="3" t="s">
        <v>153</v>
      </c>
      <c r="R580" s="3" t="s">
        <v>305</v>
      </c>
      <c r="T580" s="3" t="s">
        <v>60</v>
      </c>
      <c r="U580" s="3"/>
      <c r="V580" s="3"/>
      <c r="W580" s="3"/>
    </row>
    <row r="581" spans="1:23" ht="13" x14ac:dyDescent="0.15">
      <c r="A581" s="2">
        <v>45673.659265532406</v>
      </c>
      <c r="B581" s="3" t="s">
        <v>118</v>
      </c>
      <c r="M581" s="3">
        <v>89</v>
      </c>
      <c r="T581" s="3" t="s">
        <v>60</v>
      </c>
      <c r="U581" s="3"/>
      <c r="V581" s="3"/>
      <c r="W581" s="3"/>
    </row>
    <row r="582" spans="1:23" ht="13" x14ac:dyDescent="0.15">
      <c r="A582" s="2">
        <v>45673.659744699078</v>
      </c>
      <c r="B582" s="3" t="s">
        <v>118</v>
      </c>
      <c r="M582" s="3">
        <v>89</v>
      </c>
      <c r="T582" s="3" t="s">
        <v>60</v>
      </c>
      <c r="U582" s="3"/>
      <c r="V582" s="3"/>
      <c r="W582" s="3"/>
    </row>
    <row r="583" spans="1:23" ht="13" x14ac:dyDescent="0.15">
      <c r="A583" s="2">
        <v>45678.511148530088</v>
      </c>
      <c r="B583" s="3" t="s">
        <v>174</v>
      </c>
      <c r="G583" s="3">
        <v>2</v>
      </c>
      <c r="Q583" s="3" t="s">
        <v>177</v>
      </c>
      <c r="T583" s="3" t="s">
        <v>53</v>
      </c>
      <c r="U583" s="3"/>
      <c r="V583" s="3"/>
      <c r="W583" s="3"/>
    </row>
    <row r="584" spans="1:23" ht="13" x14ac:dyDescent="0.15">
      <c r="A584" s="2">
        <v>45678.513941215278</v>
      </c>
      <c r="B584" s="3" t="s">
        <v>174</v>
      </c>
      <c r="Q584" s="3" t="s">
        <v>231</v>
      </c>
      <c r="T584" s="3" t="s">
        <v>53</v>
      </c>
      <c r="U584" s="3"/>
      <c r="V584" s="3"/>
      <c r="W584" s="3"/>
    </row>
    <row r="585" spans="1:23" ht="13" x14ac:dyDescent="0.15">
      <c r="A585" s="2">
        <v>45680.39312025463</v>
      </c>
      <c r="B585" s="3" t="s">
        <v>174</v>
      </c>
      <c r="G585" s="3">
        <v>2</v>
      </c>
      <c r="T585" s="3" t="s">
        <v>53</v>
      </c>
      <c r="U585" s="3"/>
      <c r="V585" s="3"/>
      <c r="W585" s="3"/>
    </row>
    <row r="586" spans="1:23" ht="13" x14ac:dyDescent="0.15">
      <c r="A586" s="2">
        <v>45680.673515312505</v>
      </c>
      <c r="B586" s="3" t="s">
        <v>306</v>
      </c>
      <c r="D586" s="3">
        <v>18</v>
      </c>
      <c r="I586" s="3" t="s">
        <v>82</v>
      </c>
      <c r="J586" s="3" t="s">
        <v>25</v>
      </c>
      <c r="K586" s="3" t="s">
        <v>26</v>
      </c>
      <c r="T586" s="3" t="s">
        <v>56</v>
      </c>
      <c r="U586" s="3"/>
      <c r="V586" s="3"/>
      <c r="W586" s="3"/>
    </row>
    <row r="587" spans="1:23" ht="13" x14ac:dyDescent="0.15">
      <c r="A587" s="2">
        <v>45680.673793599533</v>
      </c>
      <c r="B587" s="3" t="s">
        <v>306</v>
      </c>
      <c r="D587" s="3">
        <v>18</v>
      </c>
      <c r="J587" s="3" t="s">
        <v>103</v>
      </c>
      <c r="K587" s="3" t="s">
        <v>26</v>
      </c>
      <c r="T587" s="3" t="s">
        <v>56</v>
      </c>
      <c r="U587" s="3"/>
      <c r="V587" s="3"/>
      <c r="W587" s="3"/>
    </row>
    <row r="588" spans="1:23" ht="13" x14ac:dyDescent="0.15">
      <c r="A588" s="2">
        <v>45680.674421828706</v>
      </c>
      <c r="B588" s="3" t="s">
        <v>306</v>
      </c>
      <c r="D588" s="3">
        <v>9</v>
      </c>
      <c r="J588" s="3" t="s">
        <v>206</v>
      </c>
      <c r="K588" s="3" t="s">
        <v>26</v>
      </c>
      <c r="T588" s="3" t="s">
        <v>56</v>
      </c>
      <c r="U588" s="3"/>
      <c r="V588" s="3"/>
      <c r="W588" s="3"/>
    </row>
    <row r="589" spans="1:23" ht="13" x14ac:dyDescent="0.15">
      <c r="A589" s="2">
        <v>45680.675102847221</v>
      </c>
      <c r="B589" s="3" t="s">
        <v>306</v>
      </c>
      <c r="D589" s="3">
        <v>36</v>
      </c>
      <c r="I589" s="3" t="s">
        <v>82</v>
      </c>
      <c r="J589" s="3" t="s">
        <v>25</v>
      </c>
      <c r="K589" s="3" t="s">
        <v>140</v>
      </c>
      <c r="T589" s="3" t="s">
        <v>56</v>
      </c>
      <c r="U589" s="3"/>
      <c r="V589" s="3"/>
      <c r="W589" s="3"/>
    </row>
    <row r="590" spans="1:23" ht="13" x14ac:dyDescent="0.15">
      <c r="A590" s="2">
        <v>45680.675404155088</v>
      </c>
      <c r="B590" s="3" t="s">
        <v>306</v>
      </c>
      <c r="D590" s="3">
        <v>18</v>
      </c>
      <c r="J590" s="3" t="s">
        <v>103</v>
      </c>
      <c r="K590" s="3" t="s">
        <v>140</v>
      </c>
      <c r="T590" s="3" t="s">
        <v>56</v>
      </c>
      <c r="U590" s="3"/>
      <c r="V590" s="3"/>
      <c r="W590" s="3"/>
    </row>
    <row r="591" spans="1:23" ht="13" x14ac:dyDescent="0.15">
      <c r="A591" s="2">
        <v>45680.67574943287</v>
      </c>
      <c r="B591" s="3" t="s">
        <v>306</v>
      </c>
      <c r="D591" s="3">
        <v>15</v>
      </c>
      <c r="I591" s="3" t="s">
        <v>102</v>
      </c>
      <c r="J591" s="3" t="s">
        <v>77</v>
      </c>
      <c r="T591" s="3" t="s">
        <v>56</v>
      </c>
      <c r="U591" s="3"/>
      <c r="V591" s="3"/>
      <c r="W591" s="3"/>
    </row>
    <row r="592" spans="1:23" ht="13" x14ac:dyDescent="0.15">
      <c r="A592" s="2">
        <v>45680.67647633102</v>
      </c>
      <c r="B592" s="3" t="s">
        <v>306</v>
      </c>
      <c r="D592" s="3">
        <v>6</v>
      </c>
      <c r="I592" s="3" t="s">
        <v>82</v>
      </c>
      <c r="J592" s="3" t="s">
        <v>25</v>
      </c>
      <c r="K592" s="3" t="s">
        <v>140</v>
      </c>
      <c r="T592" s="3" t="s">
        <v>56</v>
      </c>
      <c r="U592" s="3"/>
      <c r="V592" s="3"/>
      <c r="W592" s="3"/>
    </row>
    <row r="593" spans="1:23" ht="13" x14ac:dyDescent="0.15">
      <c r="A593" s="2">
        <v>45680.677240081015</v>
      </c>
      <c r="B593" s="3" t="s">
        <v>306</v>
      </c>
      <c r="D593" s="3">
        <v>3</v>
      </c>
      <c r="I593" s="3" t="s">
        <v>102</v>
      </c>
      <c r="J593" s="3" t="s">
        <v>103</v>
      </c>
      <c r="K593" s="3" t="s">
        <v>140</v>
      </c>
      <c r="P593" s="3" t="s">
        <v>28</v>
      </c>
      <c r="T593" s="3" t="s">
        <v>56</v>
      </c>
      <c r="U593" s="3"/>
      <c r="V593" s="3"/>
      <c r="W593" s="3"/>
    </row>
    <row r="594" spans="1:23" ht="13" x14ac:dyDescent="0.15">
      <c r="A594" s="2">
        <v>45680.678277314815</v>
      </c>
      <c r="B594" s="3" t="s">
        <v>306</v>
      </c>
      <c r="D594" s="3">
        <v>52</v>
      </c>
      <c r="I594" s="3" t="s">
        <v>82</v>
      </c>
      <c r="J594" s="3" t="s">
        <v>25</v>
      </c>
      <c r="K594" s="3" t="s">
        <v>139</v>
      </c>
      <c r="T594" s="3" t="s">
        <v>56</v>
      </c>
      <c r="U594" s="3"/>
      <c r="V594" s="3"/>
      <c r="W594" s="3"/>
    </row>
    <row r="595" spans="1:23" ht="13" x14ac:dyDescent="0.15">
      <c r="A595" s="2">
        <v>45680.678842071764</v>
      </c>
      <c r="B595" s="3" t="s">
        <v>306</v>
      </c>
      <c r="D595" s="3">
        <v>9</v>
      </c>
      <c r="J595" s="3" t="s">
        <v>77</v>
      </c>
      <c r="K595" s="3" t="s">
        <v>139</v>
      </c>
      <c r="T595" s="3" t="s">
        <v>56</v>
      </c>
      <c r="U595" s="3"/>
      <c r="V595" s="3"/>
      <c r="W595" s="3"/>
    </row>
    <row r="596" spans="1:23" ht="13" x14ac:dyDescent="0.15">
      <c r="A596" s="2">
        <v>45680.6791280787</v>
      </c>
      <c r="B596" s="3" t="s">
        <v>306</v>
      </c>
      <c r="D596" s="3">
        <v>6</v>
      </c>
      <c r="J596" s="3" t="s">
        <v>103</v>
      </c>
      <c r="K596" s="3" t="s">
        <v>139</v>
      </c>
      <c r="T596" s="3" t="s">
        <v>56</v>
      </c>
      <c r="U596" s="3"/>
      <c r="V596" s="3"/>
      <c r="W596" s="3"/>
    </row>
    <row r="597" spans="1:23" ht="13" x14ac:dyDescent="0.15">
      <c r="A597" s="2">
        <v>45680.680079004625</v>
      </c>
      <c r="B597" s="3" t="s">
        <v>306</v>
      </c>
      <c r="D597" s="3">
        <v>9</v>
      </c>
      <c r="I597" s="3" t="s">
        <v>102</v>
      </c>
      <c r="J597" s="3" t="s">
        <v>77</v>
      </c>
      <c r="K597" s="3" t="s">
        <v>138</v>
      </c>
      <c r="T597" s="3" t="s">
        <v>56</v>
      </c>
      <c r="U597" s="3"/>
      <c r="V597" s="3"/>
      <c r="W597" s="3"/>
    </row>
    <row r="598" spans="1:23" ht="13" x14ac:dyDescent="0.15">
      <c r="A598" s="2">
        <v>45680.681032592591</v>
      </c>
      <c r="B598" s="3" t="s">
        <v>306</v>
      </c>
      <c r="D598" s="3">
        <v>12</v>
      </c>
      <c r="I598" s="3" t="s">
        <v>102</v>
      </c>
      <c r="J598" s="3" t="s">
        <v>25</v>
      </c>
      <c r="K598" s="3" t="s">
        <v>146</v>
      </c>
      <c r="T598" s="3" t="s">
        <v>56</v>
      </c>
      <c r="U598" s="3"/>
      <c r="V598" s="3"/>
      <c r="W598" s="3"/>
    </row>
    <row r="599" spans="1:23" ht="13" x14ac:dyDescent="0.15">
      <c r="A599" s="2">
        <v>45680.681798518519</v>
      </c>
      <c r="B599" s="3" t="s">
        <v>306</v>
      </c>
      <c r="D599" s="3">
        <v>3</v>
      </c>
      <c r="I599" s="3" t="s">
        <v>84</v>
      </c>
      <c r="J599" s="3" t="s">
        <v>25</v>
      </c>
      <c r="K599" s="3" t="s">
        <v>146</v>
      </c>
      <c r="R599" s="3" t="s">
        <v>307</v>
      </c>
      <c r="T599" s="3" t="s">
        <v>56</v>
      </c>
      <c r="U599" s="3"/>
      <c r="V599" s="3"/>
      <c r="W599" s="3"/>
    </row>
    <row r="600" spans="1:23" ht="13" x14ac:dyDescent="0.15">
      <c r="A600" s="2">
        <v>45680.68260025463</v>
      </c>
      <c r="B600" s="3" t="s">
        <v>306</v>
      </c>
      <c r="D600" s="3">
        <v>6</v>
      </c>
      <c r="J600" s="3" t="s">
        <v>77</v>
      </c>
      <c r="K600" s="3" t="s">
        <v>151</v>
      </c>
      <c r="T600" s="3" t="s">
        <v>56</v>
      </c>
      <c r="U600" s="3"/>
      <c r="V600" s="3"/>
      <c r="W600" s="3"/>
    </row>
    <row r="601" spans="1:23" ht="13" x14ac:dyDescent="0.15">
      <c r="A601" s="2">
        <v>45680.683097615736</v>
      </c>
      <c r="B601" s="3" t="s">
        <v>306</v>
      </c>
      <c r="D601" s="3">
        <v>12</v>
      </c>
      <c r="I601" s="3" t="s">
        <v>35</v>
      </c>
      <c r="J601" s="3" t="s">
        <v>206</v>
      </c>
      <c r="K601" s="3" t="s">
        <v>151</v>
      </c>
      <c r="T601" s="3" t="s">
        <v>56</v>
      </c>
      <c r="U601" s="3"/>
      <c r="V601" s="3"/>
      <c r="W601" s="3"/>
    </row>
    <row r="602" spans="1:23" ht="13" x14ac:dyDescent="0.15">
      <c r="A602" s="2">
        <v>45680.683422905087</v>
      </c>
      <c r="B602" s="3" t="s">
        <v>306</v>
      </c>
      <c r="D602" s="3">
        <v>3</v>
      </c>
      <c r="I602" s="3" t="s">
        <v>82</v>
      </c>
      <c r="J602" s="3" t="s">
        <v>25</v>
      </c>
      <c r="T602" s="3" t="s">
        <v>56</v>
      </c>
      <c r="U602" s="3"/>
      <c r="V602" s="3"/>
      <c r="W602" s="3"/>
    </row>
    <row r="603" spans="1:23" ht="13" x14ac:dyDescent="0.15">
      <c r="A603" s="2">
        <v>45680.684574050931</v>
      </c>
      <c r="B603" s="3" t="s">
        <v>306</v>
      </c>
      <c r="D603" s="3">
        <v>38</v>
      </c>
      <c r="I603" s="3" t="s">
        <v>35</v>
      </c>
      <c r="J603" s="3" t="s">
        <v>206</v>
      </c>
      <c r="K603" s="3" t="s">
        <v>142</v>
      </c>
      <c r="T603" s="3" t="s">
        <v>56</v>
      </c>
      <c r="U603" s="3"/>
      <c r="V603" s="3"/>
      <c r="W603" s="3"/>
    </row>
    <row r="604" spans="1:23" ht="13" x14ac:dyDescent="0.15">
      <c r="A604" s="2">
        <v>45680.685148645833</v>
      </c>
      <c r="B604" s="3" t="s">
        <v>306</v>
      </c>
      <c r="D604" s="3">
        <v>9</v>
      </c>
      <c r="I604" s="3" t="s">
        <v>76</v>
      </c>
      <c r="J604" s="3" t="s">
        <v>36</v>
      </c>
      <c r="K604" s="3" t="s">
        <v>142</v>
      </c>
      <c r="T604" s="3" t="s">
        <v>56</v>
      </c>
      <c r="U604" s="3"/>
      <c r="V604" s="3"/>
      <c r="W604" s="3"/>
    </row>
    <row r="605" spans="1:23" ht="13" x14ac:dyDescent="0.15">
      <c r="A605" s="2">
        <v>45680.685592488429</v>
      </c>
      <c r="B605" s="3" t="s">
        <v>306</v>
      </c>
      <c r="D605" s="3">
        <v>9</v>
      </c>
      <c r="I605" s="3" t="s">
        <v>24</v>
      </c>
      <c r="J605" s="3" t="s">
        <v>77</v>
      </c>
      <c r="K605" s="3" t="s">
        <v>142</v>
      </c>
      <c r="T605" s="3" t="s">
        <v>56</v>
      </c>
      <c r="U605" s="3"/>
      <c r="V605" s="3"/>
      <c r="W605" s="3"/>
    </row>
    <row r="606" spans="1:23" ht="13" x14ac:dyDescent="0.15">
      <c r="A606" s="2">
        <v>45680.685944756944</v>
      </c>
      <c r="B606" s="3" t="s">
        <v>306</v>
      </c>
      <c r="D606" s="3">
        <v>6</v>
      </c>
      <c r="I606" s="3" t="s">
        <v>82</v>
      </c>
      <c r="J606" s="3" t="s">
        <v>25</v>
      </c>
      <c r="K606" s="3" t="s">
        <v>142</v>
      </c>
      <c r="T606" s="3" t="s">
        <v>56</v>
      </c>
      <c r="U606" s="3"/>
      <c r="V606" s="3"/>
      <c r="W606" s="3"/>
    </row>
    <row r="607" spans="1:23" ht="13" x14ac:dyDescent="0.15">
      <c r="A607" s="2">
        <v>45680.686509641208</v>
      </c>
      <c r="B607" s="3" t="s">
        <v>306</v>
      </c>
      <c r="D607" s="3">
        <v>22</v>
      </c>
      <c r="J607" s="3" t="s">
        <v>206</v>
      </c>
      <c r="K607" s="3" t="s">
        <v>66</v>
      </c>
      <c r="T607" s="3" t="s">
        <v>56</v>
      </c>
      <c r="U607" s="3"/>
      <c r="V607" s="3"/>
      <c r="W607" s="3"/>
    </row>
    <row r="608" spans="1:23" ht="13" x14ac:dyDescent="0.15">
      <c r="A608" s="2">
        <v>45680.686952824079</v>
      </c>
      <c r="B608" s="3" t="s">
        <v>306</v>
      </c>
      <c r="D608" s="3">
        <v>22</v>
      </c>
      <c r="J608" s="3" t="s">
        <v>103</v>
      </c>
      <c r="K608" s="3" t="s">
        <v>66</v>
      </c>
      <c r="T608" s="3" t="s">
        <v>56</v>
      </c>
      <c r="U608" s="3"/>
      <c r="V608" s="3"/>
      <c r="W608" s="3"/>
    </row>
    <row r="609" spans="1:23" ht="13" x14ac:dyDescent="0.15">
      <c r="A609" s="2">
        <v>45680.687446018521</v>
      </c>
      <c r="B609" s="3" t="s">
        <v>306</v>
      </c>
      <c r="D609" s="3">
        <v>44</v>
      </c>
      <c r="J609" s="3" t="s">
        <v>65</v>
      </c>
      <c r="K609" s="3" t="s">
        <v>66</v>
      </c>
      <c r="T609" s="3" t="s">
        <v>56</v>
      </c>
      <c r="U609" s="3"/>
      <c r="V609" s="3"/>
      <c r="W609" s="3"/>
    </row>
    <row r="610" spans="1:23" ht="13" x14ac:dyDescent="0.15">
      <c r="A610" s="2">
        <v>45680.687855671291</v>
      </c>
      <c r="B610" s="3" t="s">
        <v>306</v>
      </c>
      <c r="D610" s="3">
        <v>22</v>
      </c>
      <c r="I610" s="3" t="s">
        <v>82</v>
      </c>
      <c r="J610" s="3" t="s">
        <v>25</v>
      </c>
      <c r="K610" s="3" t="s">
        <v>66</v>
      </c>
      <c r="T610" s="3" t="s">
        <v>56</v>
      </c>
      <c r="U610" s="3"/>
      <c r="V610" s="3"/>
      <c r="W610" s="3"/>
    </row>
    <row r="611" spans="1:23" ht="13" x14ac:dyDescent="0.15">
      <c r="A611" s="2">
        <v>45680.689800173612</v>
      </c>
      <c r="B611" s="3" t="s">
        <v>306</v>
      </c>
      <c r="F611" s="7">
        <v>3000</v>
      </c>
      <c r="G611" s="3">
        <v>360</v>
      </c>
      <c r="L611" s="3" t="s">
        <v>175</v>
      </c>
      <c r="S611" s="3">
        <v>28</v>
      </c>
      <c r="T611" s="3" t="s">
        <v>56</v>
      </c>
      <c r="U611" s="3"/>
      <c r="V611" s="3"/>
      <c r="W611" s="3"/>
    </row>
    <row r="612" spans="1:23" ht="13" x14ac:dyDescent="0.15">
      <c r="A612" s="2">
        <v>45680.69088141204</v>
      </c>
      <c r="B612" s="3" t="s">
        <v>306</v>
      </c>
      <c r="H612" s="3">
        <v>217</v>
      </c>
      <c r="L612" s="3" t="s">
        <v>308</v>
      </c>
      <c r="T612" s="3" t="s">
        <v>56</v>
      </c>
      <c r="U612" s="3"/>
      <c r="V612" s="3"/>
      <c r="W612" s="3"/>
    </row>
    <row r="613" spans="1:23" ht="13" x14ac:dyDescent="0.15">
      <c r="A613" s="2">
        <v>45680.691920555561</v>
      </c>
      <c r="B613" s="3" t="s">
        <v>306</v>
      </c>
      <c r="R613" s="3" t="s">
        <v>309</v>
      </c>
      <c r="T613" s="3" t="s">
        <v>56</v>
      </c>
      <c r="U613" s="3"/>
      <c r="V613" s="3"/>
      <c r="W613" s="3"/>
    </row>
    <row r="614" spans="1:23" ht="13" x14ac:dyDescent="0.15">
      <c r="A614" s="2">
        <v>45680.698974965278</v>
      </c>
      <c r="B614" s="3" t="s">
        <v>306</v>
      </c>
      <c r="R614" s="3" t="s">
        <v>310</v>
      </c>
      <c r="T614" s="3" t="s">
        <v>56</v>
      </c>
      <c r="U614" s="3"/>
      <c r="V614" s="3"/>
      <c r="W614" s="3"/>
    </row>
    <row r="615" spans="1:23" ht="13" x14ac:dyDescent="0.15">
      <c r="A615" s="2">
        <v>45680.699245335651</v>
      </c>
      <c r="B615" s="3" t="s">
        <v>306</v>
      </c>
      <c r="R615" s="3" t="s">
        <v>226</v>
      </c>
      <c r="T615" s="3" t="s">
        <v>56</v>
      </c>
      <c r="U615" s="3"/>
      <c r="V615" s="3"/>
      <c r="W615" s="3"/>
    </row>
    <row r="616" spans="1:23" ht="13" x14ac:dyDescent="0.15">
      <c r="A616" s="2">
        <v>45680.699628738425</v>
      </c>
      <c r="B616" s="3" t="s">
        <v>306</v>
      </c>
      <c r="R616" s="3" t="s">
        <v>311</v>
      </c>
      <c r="T616" s="3" t="s">
        <v>56</v>
      </c>
      <c r="U616" s="3"/>
      <c r="V616" s="3"/>
      <c r="W616" s="3"/>
    </row>
    <row r="617" spans="1:23" ht="13" x14ac:dyDescent="0.15">
      <c r="A617" s="2">
        <v>45680.699928437505</v>
      </c>
      <c r="B617" s="3" t="s">
        <v>306</v>
      </c>
      <c r="R617" s="3" t="s">
        <v>312</v>
      </c>
      <c r="T617" s="3" t="s">
        <v>56</v>
      </c>
      <c r="U617" s="3"/>
      <c r="V617" s="3"/>
      <c r="W617" s="3"/>
    </row>
    <row r="618" spans="1:23" ht="13" x14ac:dyDescent="0.15">
      <c r="A618" s="2">
        <v>45680.70056222222</v>
      </c>
      <c r="B618" s="3" t="s">
        <v>306</v>
      </c>
      <c r="R618" s="3" t="s">
        <v>313</v>
      </c>
      <c r="T618" s="3" t="s">
        <v>56</v>
      </c>
      <c r="U618" s="3"/>
      <c r="V618" s="3"/>
      <c r="W618" s="3"/>
    </row>
    <row r="619" spans="1:23" ht="13" x14ac:dyDescent="0.15">
      <c r="A619" s="2">
        <v>45680.701229537037</v>
      </c>
      <c r="B619" s="3" t="s">
        <v>306</v>
      </c>
      <c r="R619" s="3" t="s">
        <v>314</v>
      </c>
      <c r="T619" s="3" t="s">
        <v>56</v>
      </c>
      <c r="U619" s="3"/>
      <c r="V619" s="3"/>
      <c r="W619" s="3"/>
    </row>
    <row r="620" spans="1:23" ht="13" x14ac:dyDescent="0.15">
      <c r="A620" s="2">
        <v>45680.703045960647</v>
      </c>
      <c r="B620" s="3" t="s">
        <v>306</v>
      </c>
      <c r="Q620" s="3" t="s">
        <v>315</v>
      </c>
      <c r="T620" s="3" t="s">
        <v>56</v>
      </c>
      <c r="U620" s="3"/>
      <c r="V620" s="3"/>
      <c r="W620" s="3"/>
    </row>
    <row r="621" spans="1:23" ht="13" x14ac:dyDescent="0.15">
      <c r="A621" s="2">
        <v>45680.703375520832</v>
      </c>
      <c r="B621" s="3" t="s">
        <v>306</v>
      </c>
      <c r="Q621" s="3" t="s">
        <v>72</v>
      </c>
      <c r="T621" s="3" t="s">
        <v>56</v>
      </c>
      <c r="U621" s="3"/>
      <c r="V621" s="3"/>
      <c r="W621" s="3"/>
    </row>
    <row r="622" spans="1:23" ht="13" x14ac:dyDescent="0.15">
      <c r="A622" s="2">
        <v>45680.703606840281</v>
      </c>
      <c r="B622" s="3" t="s">
        <v>306</v>
      </c>
      <c r="Q622" s="3" t="s">
        <v>72</v>
      </c>
      <c r="T622" s="3" t="s">
        <v>56</v>
      </c>
      <c r="U622" s="3"/>
      <c r="V622" s="3"/>
      <c r="W622" s="3"/>
    </row>
    <row r="623" spans="1:23" ht="13" x14ac:dyDescent="0.15">
      <c r="A623" s="2">
        <v>45680.70384584491</v>
      </c>
      <c r="B623" s="3" t="s">
        <v>306</v>
      </c>
      <c r="Q623" s="3" t="s">
        <v>72</v>
      </c>
      <c r="T623" s="3" t="s">
        <v>56</v>
      </c>
      <c r="U623" s="3"/>
      <c r="V623" s="3"/>
      <c r="W623" s="3"/>
    </row>
    <row r="624" spans="1:23" ht="13" x14ac:dyDescent="0.15">
      <c r="A624" s="2">
        <v>45680.704095034722</v>
      </c>
      <c r="B624" s="3" t="s">
        <v>306</v>
      </c>
      <c r="Q624" s="3" t="s">
        <v>72</v>
      </c>
      <c r="T624" s="3" t="s">
        <v>56</v>
      </c>
      <c r="U624" s="3"/>
      <c r="V624" s="3"/>
      <c r="W624" s="3"/>
    </row>
    <row r="625" spans="1:23" ht="13" x14ac:dyDescent="0.15">
      <c r="A625" s="2">
        <v>45680.704308981483</v>
      </c>
      <c r="B625" s="3" t="s">
        <v>306</v>
      </c>
      <c r="Q625" s="3" t="s">
        <v>72</v>
      </c>
      <c r="T625" s="3" t="s">
        <v>56</v>
      </c>
      <c r="U625" s="3"/>
      <c r="V625" s="3"/>
      <c r="W625" s="3"/>
    </row>
    <row r="626" spans="1:23" ht="13" x14ac:dyDescent="0.15">
      <c r="A626" s="2">
        <v>45680.704535972225</v>
      </c>
      <c r="B626" s="3" t="s">
        <v>306</v>
      </c>
      <c r="Q626" s="3" t="s">
        <v>72</v>
      </c>
      <c r="T626" s="3" t="s">
        <v>56</v>
      </c>
      <c r="U626" s="3"/>
      <c r="V626" s="3"/>
      <c r="W626" s="3"/>
    </row>
    <row r="627" spans="1:23" ht="13" x14ac:dyDescent="0.15">
      <c r="A627" s="2">
        <v>45692.486590324072</v>
      </c>
      <c r="B627" s="3" t="s">
        <v>91</v>
      </c>
      <c r="D627" s="3">
        <v>2</v>
      </c>
      <c r="G627" s="3">
        <v>16</v>
      </c>
      <c r="I627" s="3" t="s">
        <v>24</v>
      </c>
      <c r="J627" s="3" t="s">
        <v>237</v>
      </c>
      <c r="K627" s="3" t="s">
        <v>97</v>
      </c>
      <c r="M627" s="3">
        <v>622</v>
      </c>
      <c r="P627" s="3" t="s">
        <v>92</v>
      </c>
      <c r="Q627" s="3" t="s">
        <v>93</v>
      </c>
      <c r="R627" s="3" t="s">
        <v>316</v>
      </c>
      <c r="T627" s="3" t="s">
        <v>33</v>
      </c>
      <c r="U627" s="3"/>
      <c r="V627" s="3"/>
      <c r="W627" s="3"/>
    </row>
    <row r="628" spans="1:23" ht="13" x14ac:dyDescent="0.15">
      <c r="A628" s="2">
        <v>45692.48741799769</v>
      </c>
      <c r="B628" s="3" t="s">
        <v>91</v>
      </c>
      <c r="D628" s="3">
        <v>1</v>
      </c>
      <c r="I628" s="3" t="s">
        <v>35</v>
      </c>
      <c r="J628" s="3" t="s">
        <v>65</v>
      </c>
      <c r="K628" s="3" t="s">
        <v>159</v>
      </c>
      <c r="Q628" s="3" t="s">
        <v>106</v>
      </c>
      <c r="T628" s="3" t="s">
        <v>33</v>
      </c>
      <c r="U628" s="3"/>
      <c r="V628" s="3"/>
      <c r="W628" s="3"/>
    </row>
    <row r="629" spans="1:23" ht="13" x14ac:dyDescent="0.15">
      <c r="A629" s="2">
        <v>45692.487836585649</v>
      </c>
      <c r="B629" s="3" t="s">
        <v>91</v>
      </c>
      <c r="Q629" s="3" t="s">
        <v>110</v>
      </c>
      <c r="T629" s="3" t="s">
        <v>33</v>
      </c>
      <c r="U629" s="3"/>
      <c r="V629" s="3"/>
      <c r="W629" s="3"/>
    </row>
    <row r="630" spans="1:23" ht="13" x14ac:dyDescent="0.15">
      <c r="A630" s="2">
        <v>45692.491986157409</v>
      </c>
      <c r="B630" s="3" t="s">
        <v>91</v>
      </c>
      <c r="D630" s="3">
        <v>8</v>
      </c>
      <c r="I630" s="3" t="s">
        <v>24</v>
      </c>
      <c r="J630" s="3" t="s">
        <v>25</v>
      </c>
      <c r="K630" s="3" t="s">
        <v>37</v>
      </c>
      <c r="T630" s="3" t="s">
        <v>33</v>
      </c>
      <c r="U630" s="3"/>
      <c r="V630" s="3"/>
      <c r="W630" s="3"/>
    </row>
    <row r="631" spans="1:23" ht="13" x14ac:dyDescent="0.15">
      <c r="A631" s="2">
        <v>45692.492683611112</v>
      </c>
      <c r="B631" s="3" t="s">
        <v>91</v>
      </c>
      <c r="D631" s="3">
        <v>35</v>
      </c>
      <c r="I631" s="3" t="s">
        <v>24</v>
      </c>
      <c r="J631" s="3" t="s">
        <v>25</v>
      </c>
      <c r="K631" s="3" t="s">
        <v>101</v>
      </c>
      <c r="T631" s="3" t="s">
        <v>33</v>
      </c>
      <c r="U631" s="3"/>
      <c r="V631" s="3"/>
      <c r="W631" s="3"/>
    </row>
    <row r="632" spans="1:23" ht="13" x14ac:dyDescent="0.15">
      <c r="A632" s="2">
        <v>45692.493040833331</v>
      </c>
      <c r="B632" s="3" t="s">
        <v>91</v>
      </c>
      <c r="D632" s="3">
        <v>3</v>
      </c>
      <c r="I632" s="3" t="s">
        <v>76</v>
      </c>
      <c r="J632" s="3" t="s">
        <v>237</v>
      </c>
      <c r="K632" s="3" t="s">
        <v>97</v>
      </c>
      <c r="T632" s="3" t="s">
        <v>33</v>
      </c>
      <c r="U632" s="3"/>
      <c r="V632" s="3"/>
      <c r="W632" s="3"/>
    </row>
    <row r="633" spans="1:23" ht="13" x14ac:dyDescent="0.15">
      <c r="A633" s="2">
        <v>45692.493362199079</v>
      </c>
      <c r="B633" s="3" t="s">
        <v>91</v>
      </c>
      <c r="D633" s="3">
        <v>5</v>
      </c>
      <c r="I633" s="3" t="s">
        <v>35</v>
      </c>
      <c r="J633" s="3" t="s">
        <v>65</v>
      </c>
      <c r="K633" s="3" t="s">
        <v>159</v>
      </c>
      <c r="T633" s="3" t="s">
        <v>33</v>
      </c>
      <c r="U633" s="3"/>
      <c r="V633" s="3"/>
      <c r="W633" s="3"/>
    </row>
    <row r="634" spans="1:23" ht="13" x14ac:dyDescent="0.15">
      <c r="A634" s="2">
        <v>45692.49375616898</v>
      </c>
      <c r="B634" s="3" t="s">
        <v>91</v>
      </c>
      <c r="D634" s="3">
        <v>3</v>
      </c>
      <c r="I634" s="3" t="s">
        <v>35</v>
      </c>
      <c r="J634" s="3" t="s">
        <v>25</v>
      </c>
      <c r="K634" s="3" t="s">
        <v>100</v>
      </c>
      <c r="T634" s="3" t="s">
        <v>33</v>
      </c>
      <c r="U634" s="3"/>
      <c r="V634" s="3"/>
      <c r="W634" s="3"/>
    </row>
    <row r="635" spans="1:23" ht="13" x14ac:dyDescent="0.15">
      <c r="A635" s="2">
        <v>45692.494100891199</v>
      </c>
      <c r="B635" s="3" t="s">
        <v>91</v>
      </c>
      <c r="D635" s="3">
        <v>2</v>
      </c>
      <c r="I635" s="3" t="s">
        <v>82</v>
      </c>
      <c r="J635" s="3" t="s">
        <v>25</v>
      </c>
      <c r="K635" s="3" t="s">
        <v>101</v>
      </c>
      <c r="T635" s="3" t="s">
        <v>33</v>
      </c>
      <c r="U635" s="3"/>
      <c r="V635" s="3"/>
      <c r="W635" s="3"/>
    </row>
    <row r="636" spans="1:23" ht="13" x14ac:dyDescent="0.15">
      <c r="A636" s="2">
        <v>45692.494409050923</v>
      </c>
      <c r="B636" s="3" t="s">
        <v>91</v>
      </c>
      <c r="D636" s="3">
        <v>2</v>
      </c>
      <c r="I636" s="3" t="s">
        <v>82</v>
      </c>
      <c r="J636" s="3" t="s">
        <v>25</v>
      </c>
      <c r="K636" s="3" t="s">
        <v>97</v>
      </c>
      <c r="T636" s="3" t="s">
        <v>33</v>
      </c>
      <c r="U636" s="3"/>
      <c r="V636" s="3"/>
      <c r="W636" s="3"/>
    </row>
    <row r="637" spans="1:23" ht="13" x14ac:dyDescent="0.15">
      <c r="A637" s="2">
        <v>45692.494842291664</v>
      </c>
      <c r="B637" s="3" t="s">
        <v>91</v>
      </c>
      <c r="D637" s="3">
        <v>14</v>
      </c>
      <c r="I637" s="3" t="s">
        <v>84</v>
      </c>
      <c r="J637" s="3" t="s">
        <v>77</v>
      </c>
      <c r="K637" s="3" t="s">
        <v>97</v>
      </c>
      <c r="T637" s="3" t="s">
        <v>33</v>
      </c>
      <c r="U637" s="3"/>
      <c r="V637" s="3"/>
      <c r="W637" s="3"/>
    </row>
    <row r="638" spans="1:23" ht="13" x14ac:dyDescent="0.15">
      <c r="A638" s="2">
        <v>45692.495625995369</v>
      </c>
      <c r="B638" s="3" t="s">
        <v>91</v>
      </c>
      <c r="D638" s="3">
        <v>10</v>
      </c>
      <c r="I638" s="3" t="s">
        <v>84</v>
      </c>
      <c r="J638" s="3" t="s">
        <v>25</v>
      </c>
      <c r="K638" s="3" t="s">
        <v>100</v>
      </c>
      <c r="T638" s="3" t="s">
        <v>33</v>
      </c>
      <c r="U638" s="3"/>
      <c r="V638" s="3"/>
      <c r="W638" s="3"/>
    </row>
    <row r="639" spans="1:23" ht="13" x14ac:dyDescent="0.15">
      <c r="A639" s="2">
        <v>45693.479596805555</v>
      </c>
      <c r="B639" s="3" t="s">
        <v>51</v>
      </c>
      <c r="C639" s="3">
        <v>1540</v>
      </c>
      <c r="N639" s="3">
        <v>190</v>
      </c>
      <c r="T639" s="3" t="s">
        <v>31</v>
      </c>
      <c r="U639" s="3"/>
      <c r="V639" s="3"/>
      <c r="W639" s="3"/>
    </row>
    <row r="640" spans="1:23" ht="13" x14ac:dyDescent="0.15">
      <c r="A640" s="2">
        <v>45693.479884062501</v>
      </c>
      <c r="B640" s="3" t="s">
        <v>51</v>
      </c>
      <c r="C640" s="3">
        <v>2432</v>
      </c>
      <c r="N640" s="3">
        <v>205</v>
      </c>
      <c r="T640" s="3" t="s">
        <v>42</v>
      </c>
      <c r="U640" s="3"/>
      <c r="V640" s="3"/>
      <c r="W640" s="3"/>
    </row>
    <row r="641" spans="1:23" ht="13" x14ac:dyDescent="0.15">
      <c r="A641" s="2">
        <v>45693.480182650463</v>
      </c>
      <c r="B641" s="3" t="s">
        <v>51</v>
      </c>
      <c r="C641" s="3">
        <v>1817</v>
      </c>
      <c r="N641" s="3">
        <v>338</v>
      </c>
      <c r="T641" s="3" t="s">
        <v>32</v>
      </c>
      <c r="U641" s="3"/>
      <c r="V641" s="3"/>
      <c r="W641" s="3"/>
    </row>
    <row r="642" spans="1:23" ht="13" x14ac:dyDescent="0.15">
      <c r="A642" s="2">
        <v>45693.480509409725</v>
      </c>
      <c r="B642" s="3" t="s">
        <v>51</v>
      </c>
      <c r="C642" s="3">
        <v>1008</v>
      </c>
      <c r="N642" s="3">
        <v>4</v>
      </c>
      <c r="T642" s="3" t="s">
        <v>43</v>
      </c>
      <c r="U642" s="3"/>
      <c r="V642" s="3"/>
      <c r="W642" s="3"/>
    </row>
    <row r="643" spans="1:23" ht="13" x14ac:dyDescent="0.15">
      <c r="A643" s="2">
        <v>45693.480822314814</v>
      </c>
      <c r="B643" s="3" t="s">
        <v>51</v>
      </c>
      <c r="C643" s="3">
        <v>1217</v>
      </c>
      <c r="N643" s="3">
        <v>15</v>
      </c>
      <c r="T643" s="3" t="s">
        <v>44</v>
      </c>
      <c r="U643" s="3"/>
      <c r="V643" s="3"/>
      <c r="W643" s="3"/>
    </row>
    <row r="644" spans="1:23" ht="13" x14ac:dyDescent="0.15">
      <c r="A644" s="2">
        <v>45693.481136006943</v>
      </c>
      <c r="B644" s="3" t="s">
        <v>51</v>
      </c>
      <c r="C644" s="3">
        <v>631</v>
      </c>
      <c r="N644" s="3">
        <v>4</v>
      </c>
      <c r="T644" s="3" t="s">
        <v>45</v>
      </c>
      <c r="U644" s="3"/>
      <c r="V644" s="3"/>
      <c r="W644" s="3"/>
    </row>
    <row r="645" spans="1:23" ht="13" x14ac:dyDescent="0.15">
      <c r="A645" s="2">
        <v>45693.48148858796</v>
      </c>
      <c r="B645" s="3" t="s">
        <v>51</v>
      </c>
      <c r="C645" s="3">
        <v>655</v>
      </c>
      <c r="N645" s="3">
        <v>53</v>
      </c>
      <c r="T645" s="3" t="s">
        <v>46</v>
      </c>
      <c r="U645" s="3"/>
      <c r="V645" s="3"/>
      <c r="W645" s="3"/>
    </row>
    <row r="646" spans="1:23" ht="13" x14ac:dyDescent="0.15">
      <c r="A646" s="2">
        <v>45693.481912037038</v>
      </c>
      <c r="B646" s="3" t="s">
        <v>51</v>
      </c>
      <c r="C646" s="3">
        <v>787</v>
      </c>
      <c r="N646" s="3">
        <v>120</v>
      </c>
      <c r="T646" s="3" t="s">
        <v>55</v>
      </c>
      <c r="U646" s="3"/>
      <c r="V646" s="3"/>
      <c r="W646" s="3"/>
    </row>
    <row r="647" spans="1:23" ht="13" x14ac:dyDescent="0.15">
      <c r="A647" s="2">
        <v>45693.482255636569</v>
      </c>
      <c r="B647" s="3" t="s">
        <v>51</v>
      </c>
      <c r="C647" s="3">
        <v>676</v>
      </c>
      <c r="N647" s="3">
        <v>2</v>
      </c>
      <c r="T647" s="3" t="s">
        <v>56</v>
      </c>
      <c r="U647" s="3"/>
      <c r="V647" s="3"/>
      <c r="W647" s="3"/>
    </row>
    <row r="648" spans="1:23" ht="13" x14ac:dyDescent="0.15">
      <c r="A648" s="2">
        <v>45693.482550127315</v>
      </c>
      <c r="B648" s="3" t="s">
        <v>51</v>
      </c>
      <c r="C648" s="3">
        <v>887</v>
      </c>
      <c r="N648" s="3">
        <v>66</v>
      </c>
      <c r="T648" s="3" t="s">
        <v>57</v>
      </c>
      <c r="U648" s="3"/>
      <c r="V648" s="3"/>
      <c r="W648" s="3"/>
    </row>
    <row r="649" spans="1:23" ht="13" x14ac:dyDescent="0.15">
      <c r="A649" s="2">
        <v>45693.48285695602</v>
      </c>
      <c r="B649" s="3" t="s">
        <v>51</v>
      </c>
      <c r="C649" s="3">
        <v>734</v>
      </c>
      <c r="N649" s="3">
        <v>0</v>
      </c>
      <c r="T649" s="3" t="s">
        <v>58</v>
      </c>
      <c r="U649" s="3"/>
      <c r="V649" s="3"/>
      <c r="W649" s="3"/>
    </row>
    <row r="650" spans="1:23" ht="13" x14ac:dyDescent="0.15">
      <c r="A650" s="2">
        <v>45693.483161736112</v>
      </c>
      <c r="B650" s="3" t="s">
        <v>51</v>
      </c>
      <c r="C650" s="3">
        <v>1072</v>
      </c>
      <c r="N650" s="3">
        <v>188</v>
      </c>
      <c r="T650" s="3" t="s">
        <v>59</v>
      </c>
      <c r="U650" s="3"/>
      <c r="V650" s="3"/>
      <c r="W650" s="3"/>
    </row>
    <row r="651" spans="1:23" ht="13" x14ac:dyDescent="0.15">
      <c r="A651" s="2">
        <v>45693.48348185185</v>
      </c>
      <c r="B651" s="3" t="s">
        <v>51</v>
      </c>
      <c r="C651" s="3">
        <v>1766</v>
      </c>
      <c r="N651" s="3">
        <v>572</v>
      </c>
      <c r="T651" s="3" t="s">
        <v>60</v>
      </c>
      <c r="U651" s="3"/>
      <c r="V651" s="3"/>
      <c r="W651" s="3"/>
    </row>
    <row r="652" spans="1:23" ht="13" x14ac:dyDescent="0.15">
      <c r="A652" s="2">
        <v>45693.484013275462</v>
      </c>
      <c r="B652" s="3" t="s">
        <v>51</v>
      </c>
      <c r="C652" s="3">
        <v>1359</v>
      </c>
      <c r="N652" s="3">
        <v>253</v>
      </c>
      <c r="T652" s="3" t="s">
        <v>62</v>
      </c>
      <c r="U652" s="3"/>
      <c r="V652" s="3"/>
      <c r="W652" s="3"/>
    </row>
    <row r="653" spans="1:23" ht="13" x14ac:dyDescent="0.15">
      <c r="A653" s="2">
        <v>45693.484411203703</v>
      </c>
      <c r="B653" s="3" t="s">
        <v>51</v>
      </c>
      <c r="C653" s="3">
        <v>1369</v>
      </c>
      <c r="N653" s="3">
        <v>2</v>
      </c>
      <c r="T653" s="3" t="s">
        <v>61</v>
      </c>
      <c r="U653" s="3"/>
      <c r="V653" s="3"/>
      <c r="W653" s="3"/>
    </row>
    <row r="654" spans="1:23" ht="13" x14ac:dyDescent="0.15">
      <c r="A654" s="2">
        <v>45693.484731030097</v>
      </c>
      <c r="B654" s="3" t="s">
        <v>51</v>
      </c>
      <c r="C654" s="3">
        <v>1945</v>
      </c>
      <c r="N654" s="3">
        <v>364</v>
      </c>
      <c r="T654" s="3" t="s">
        <v>63</v>
      </c>
      <c r="U654" s="3"/>
      <c r="V654" s="3"/>
      <c r="W654" s="3"/>
    </row>
    <row r="655" spans="1:23" ht="13" x14ac:dyDescent="0.15">
      <c r="A655" s="2">
        <v>45693.485011759258</v>
      </c>
      <c r="B655" s="3" t="s">
        <v>51</v>
      </c>
      <c r="C655" s="3">
        <v>662</v>
      </c>
      <c r="N655" s="3">
        <v>13</v>
      </c>
      <c r="T655" s="3" t="s">
        <v>64</v>
      </c>
      <c r="U655" s="3"/>
      <c r="V655" s="3"/>
      <c r="W655" s="3"/>
    </row>
    <row r="656" spans="1:23" ht="13" x14ac:dyDescent="0.15">
      <c r="A656" s="2">
        <v>45693.485316157406</v>
      </c>
      <c r="B656" s="3" t="s">
        <v>51</v>
      </c>
      <c r="C656" s="3">
        <v>292</v>
      </c>
      <c r="N656" s="3">
        <v>105</v>
      </c>
      <c r="T656" s="3" t="s">
        <v>39</v>
      </c>
      <c r="U656" s="3"/>
      <c r="V656" s="3"/>
      <c r="W656" s="3"/>
    </row>
    <row r="657" spans="1:23" ht="13" x14ac:dyDescent="0.15">
      <c r="A657" s="2">
        <v>45693.485657627316</v>
      </c>
      <c r="B657" s="3" t="s">
        <v>51</v>
      </c>
      <c r="C657" s="3">
        <v>321</v>
      </c>
      <c r="N657" s="3">
        <v>167</v>
      </c>
      <c r="T657" s="3" t="s">
        <v>52</v>
      </c>
      <c r="U657" s="3"/>
      <c r="V657" s="3"/>
      <c r="W657" s="3"/>
    </row>
    <row r="658" spans="1:23" ht="13" x14ac:dyDescent="0.15">
      <c r="A658" s="2">
        <v>45693.48595667824</v>
      </c>
      <c r="B658" s="3" t="s">
        <v>51</v>
      </c>
      <c r="C658" s="3">
        <v>247</v>
      </c>
      <c r="N658" s="3">
        <v>68</v>
      </c>
      <c r="T658" s="3" t="s">
        <v>53</v>
      </c>
      <c r="U658" s="3"/>
      <c r="V658" s="3"/>
      <c r="W658" s="3"/>
    </row>
    <row r="659" spans="1:23" ht="13" x14ac:dyDescent="0.15">
      <c r="A659" s="2">
        <v>45693.486283495367</v>
      </c>
      <c r="B659" s="3" t="s">
        <v>51</v>
      </c>
      <c r="C659" s="3">
        <v>637</v>
      </c>
      <c r="N659" s="3">
        <v>231</v>
      </c>
      <c r="T659" s="3" t="s">
        <v>54</v>
      </c>
      <c r="U659" s="3"/>
      <c r="V659" s="3"/>
      <c r="W659" s="3"/>
    </row>
    <row r="660" spans="1:23" ht="13" x14ac:dyDescent="0.15">
      <c r="A660" s="2">
        <v>45693.486568032407</v>
      </c>
      <c r="B660" s="3" t="s">
        <v>51</v>
      </c>
      <c r="C660" s="3">
        <v>535</v>
      </c>
      <c r="N660" s="3">
        <v>67</v>
      </c>
      <c r="T660" s="3" t="s">
        <v>50</v>
      </c>
      <c r="U660" s="3"/>
      <c r="V660" s="3"/>
      <c r="W660" s="3"/>
    </row>
    <row r="661" spans="1:23" ht="13" x14ac:dyDescent="0.15">
      <c r="A661" s="2">
        <v>45693.486839224541</v>
      </c>
      <c r="B661" s="3" t="s">
        <v>51</v>
      </c>
      <c r="C661" s="3">
        <v>1148</v>
      </c>
      <c r="N661" s="3">
        <v>158</v>
      </c>
      <c r="T661" s="3" t="s">
        <v>33</v>
      </c>
      <c r="U661" s="3"/>
      <c r="V661" s="3"/>
      <c r="W661" s="3"/>
    </row>
    <row r="662" spans="1:23" ht="13" x14ac:dyDescent="0.15">
      <c r="A662" s="2">
        <v>45693.48737988426</v>
      </c>
      <c r="B662" s="3" t="s">
        <v>51</v>
      </c>
      <c r="C662" s="3">
        <v>49</v>
      </c>
      <c r="N662" s="3">
        <v>5</v>
      </c>
      <c r="T662" s="3" t="s">
        <v>67</v>
      </c>
      <c r="U662" s="3"/>
      <c r="V662" s="3"/>
      <c r="W662" s="3"/>
    </row>
    <row r="663" spans="1:23" ht="13" x14ac:dyDescent="0.15">
      <c r="A663" s="2">
        <v>45699.341275671293</v>
      </c>
      <c r="B663" s="3" t="s">
        <v>149</v>
      </c>
      <c r="D663" s="3">
        <v>3</v>
      </c>
      <c r="G663" s="3">
        <v>18</v>
      </c>
      <c r="H663" s="3">
        <v>3</v>
      </c>
      <c r="I663" s="3" t="s">
        <v>102</v>
      </c>
      <c r="J663" s="3" t="s">
        <v>77</v>
      </c>
      <c r="K663" s="3" t="s">
        <v>151</v>
      </c>
      <c r="L663" s="3" t="s">
        <v>317</v>
      </c>
      <c r="T663" s="3" t="s">
        <v>45</v>
      </c>
      <c r="U663" s="3"/>
      <c r="V663" s="3"/>
      <c r="W663" s="3"/>
    </row>
    <row r="664" spans="1:23" ht="13" x14ac:dyDescent="0.15">
      <c r="A664" s="2">
        <v>45699.34206091435</v>
      </c>
      <c r="B664" s="3" t="s">
        <v>149</v>
      </c>
      <c r="G664" s="3">
        <v>42</v>
      </c>
      <c r="H664" s="3">
        <v>9</v>
      </c>
      <c r="I664" s="3" t="s">
        <v>24</v>
      </c>
      <c r="R664" s="3" t="s">
        <v>318</v>
      </c>
      <c r="T664" s="3" t="s">
        <v>45</v>
      </c>
      <c r="U664" s="3"/>
      <c r="V664" s="3"/>
      <c r="W664" s="3"/>
    </row>
    <row r="665" spans="1:23" ht="13" x14ac:dyDescent="0.15">
      <c r="A665" s="2">
        <v>45699.342735381942</v>
      </c>
      <c r="B665" s="3" t="s">
        <v>149</v>
      </c>
      <c r="G665" s="3">
        <v>42</v>
      </c>
      <c r="H665" s="3">
        <v>14</v>
      </c>
      <c r="Q665" s="3" t="s">
        <v>319</v>
      </c>
      <c r="T665" s="3" t="s">
        <v>45</v>
      </c>
      <c r="U665" s="3"/>
      <c r="V665" s="3"/>
      <c r="W665" s="3"/>
    </row>
    <row r="666" spans="1:23" ht="13" x14ac:dyDescent="0.15">
      <c r="A666" s="2">
        <v>45699.670375856484</v>
      </c>
      <c r="B666" s="3" t="s">
        <v>135</v>
      </c>
      <c r="D666" s="3">
        <v>5</v>
      </c>
      <c r="I666" s="3" t="s">
        <v>35</v>
      </c>
      <c r="J666" s="3" t="s">
        <v>25</v>
      </c>
      <c r="K666" s="3" t="s">
        <v>139</v>
      </c>
      <c r="T666" s="3" t="s">
        <v>61</v>
      </c>
      <c r="U666" s="3"/>
      <c r="V666" s="3"/>
      <c r="W666" s="3"/>
    </row>
    <row r="667" spans="1:23" ht="13" x14ac:dyDescent="0.15">
      <c r="A667" s="2">
        <v>45699.671165069449</v>
      </c>
      <c r="B667" s="3" t="s">
        <v>135</v>
      </c>
      <c r="D667" s="3">
        <v>3</v>
      </c>
      <c r="I667" s="3" t="s">
        <v>82</v>
      </c>
      <c r="J667" s="3" t="s">
        <v>25</v>
      </c>
      <c r="K667" s="3" t="s">
        <v>138</v>
      </c>
      <c r="T667" s="3" t="s">
        <v>61</v>
      </c>
      <c r="U667" s="3"/>
      <c r="V667" s="3"/>
      <c r="W667" s="3"/>
    </row>
    <row r="668" spans="1:23" ht="13" x14ac:dyDescent="0.15">
      <c r="A668" s="2">
        <v>45699.671592893515</v>
      </c>
      <c r="B668" s="3" t="s">
        <v>135</v>
      </c>
      <c r="D668" s="3">
        <v>2</v>
      </c>
      <c r="I668" s="3" t="s">
        <v>82</v>
      </c>
      <c r="J668" s="3" t="s">
        <v>25</v>
      </c>
      <c r="K668" s="3" t="s">
        <v>138</v>
      </c>
      <c r="T668" s="3" t="s">
        <v>61</v>
      </c>
      <c r="U668" s="3"/>
      <c r="V668" s="3"/>
      <c r="W668" s="3"/>
    </row>
    <row r="669" spans="1:23" ht="13" x14ac:dyDescent="0.15">
      <c r="A669" s="2">
        <v>45699.67211112268</v>
      </c>
      <c r="B669" s="3" t="s">
        <v>135</v>
      </c>
      <c r="D669" s="3">
        <v>5</v>
      </c>
      <c r="J669" s="3" t="s">
        <v>77</v>
      </c>
      <c r="K669" s="3" t="s">
        <v>138</v>
      </c>
      <c r="T669" s="3" t="s">
        <v>61</v>
      </c>
      <c r="U669" s="3"/>
      <c r="V669" s="3"/>
      <c r="W669" s="3"/>
    </row>
    <row r="670" spans="1:23" ht="13" x14ac:dyDescent="0.15">
      <c r="A670" s="2">
        <v>45699.673990752315</v>
      </c>
      <c r="B670" s="3" t="s">
        <v>135</v>
      </c>
      <c r="D670" s="3">
        <v>1</v>
      </c>
      <c r="I670" s="3" t="s">
        <v>82</v>
      </c>
      <c r="J670" s="3" t="s">
        <v>25</v>
      </c>
      <c r="K670" s="3" t="s">
        <v>66</v>
      </c>
      <c r="P670" s="3" t="s">
        <v>153</v>
      </c>
      <c r="R670" s="3" t="s">
        <v>213</v>
      </c>
      <c r="T670" s="3" t="s">
        <v>61</v>
      </c>
      <c r="U670" s="3"/>
      <c r="V670" s="3"/>
      <c r="W670" s="3"/>
    </row>
    <row r="671" spans="1:23" ht="13" x14ac:dyDescent="0.15">
      <c r="A671" s="2">
        <v>45699.675080358793</v>
      </c>
      <c r="B671" s="3" t="s">
        <v>135</v>
      </c>
      <c r="D671" s="3">
        <v>5</v>
      </c>
      <c r="I671" s="3" t="s">
        <v>82</v>
      </c>
      <c r="J671" s="3" t="s">
        <v>25</v>
      </c>
      <c r="K671" s="3" t="s">
        <v>138</v>
      </c>
      <c r="T671" s="3" t="s">
        <v>61</v>
      </c>
      <c r="U671" s="3"/>
      <c r="V671" s="3"/>
      <c r="W671" s="3"/>
    </row>
    <row r="672" spans="1:23" ht="13" x14ac:dyDescent="0.15">
      <c r="A672" s="2">
        <v>45699.67700520833</v>
      </c>
      <c r="B672" s="3" t="s">
        <v>135</v>
      </c>
      <c r="D672" s="3">
        <v>5</v>
      </c>
      <c r="I672" s="3" t="s">
        <v>76</v>
      </c>
      <c r="J672" s="3" t="s">
        <v>25</v>
      </c>
      <c r="K672" s="3" t="s">
        <v>139</v>
      </c>
      <c r="T672" s="3" t="s">
        <v>61</v>
      </c>
      <c r="U672" s="3"/>
      <c r="V672" s="3"/>
      <c r="W672" s="3"/>
    </row>
    <row r="673" spans="1:23" ht="13" x14ac:dyDescent="0.15">
      <c r="A673" s="2">
        <v>45699.679160810185</v>
      </c>
      <c r="B673" s="3" t="s">
        <v>135</v>
      </c>
      <c r="D673" s="3">
        <v>17</v>
      </c>
      <c r="I673" s="3" t="s">
        <v>102</v>
      </c>
      <c r="J673" s="3" t="s">
        <v>70</v>
      </c>
      <c r="K673" s="3" t="s">
        <v>26</v>
      </c>
      <c r="R673" s="3" t="s">
        <v>320</v>
      </c>
      <c r="T673" s="3" t="s">
        <v>61</v>
      </c>
      <c r="U673" s="3"/>
      <c r="V673" s="3"/>
      <c r="W673" s="3"/>
    </row>
    <row r="674" spans="1:23" ht="13" x14ac:dyDescent="0.15">
      <c r="A674" s="2">
        <v>45699.681033090281</v>
      </c>
      <c r="B674" s="3" t="s">
        <v>135</v>
      </c>
      <c r="D674" s="3">
        <v>4</v>
      </c>
      <c r="J674" s="3" t="s">
        <v>25</v>
      </c>
      <c r="K674" s="3" t="s">
        <v>140</v>
      </c>
      <c r="T674" s="3" t="s">
        <v>61</v>
      </c>
      <c r="U674" s="3"/>
      <c r="V674" s="3"/>
      <c r="W674" s="3"/>
    </row>
    <row r="675" spans="1:23" ht="13" x14ac:dyDescent="0.15">
      <c r="A675" s="2">
        <v>45699.682449328699</v>
      </c>
      <c r="B675" s="3" t="s">
        <v>135</v>
      </c>
      <c r="R675" s="3" t="s">
        <v>321</v>
      </c>
      <c r="T675" s="3" t="s">
        <v>61</v>
      </c>
      <c r="U675" s="3"/>
      <c r="V675" s="3"/>
      <c r="W675" s="3"/>
    </row>
    <row r="676" spans="1:23" ht="13" x14ac:dyDescent="0.15">
      <c r="A676" s="2">
        <v>45699.683415162042</v>
      </c>
      <c r="B676" s="3" t="s">
        <v>135</v>
      </c>
      <c r="D676" s="3">
        <v>5</v>
      </c>
      <c r="I676" s="3" t="s">
        <v>76</v>
      </c>
      <c r="J676" s="3" t="s">
        <v>25</v>
      </c>
      <c r="K676" s="3" t="s">
        <v>139</v>
      </c>
      <c r="P676" s="3" t="s">
        <v>153</v>
      </c>
      <c r="R676" s="3" t="s">
        <v>322</v>
      </c>
      <c r="T676" s="3" t="s">
        <v>61</v>
      </c>
      <c r="U676" s="3"/>
      <c r="V676" s="3"/>
      <c r="W676" s="3"/>
    </row>
    <row r="677" spans="1:23" ht="13" x14ac:dyDescent="0.15">
      <c r="A677" s="2">
        <v>45699.683903472222</v>
      </c>
      <c r="B677" s="3" t="s">
        <v>135</v>
      </c>
      <c r="H677" s="3">
        <v>5</v>
      </c>
      <c r="T677" s="3" t="s">
        <v>61</v>
      </c>
      <c r="U677" s="3"/>
      <c r="V677" s="3"/>
      <c r="W677" s="3"/>
    </row>
    <row r="678" spans="1:23" ht="13" x14ac:dyDescent="0.15">
      <c r="A678" s="2">
        <v>45699.685904270838</v>
      </c>
      <c r="B678" s="3" t="s">
        <v>135</v>
      </c>
      <c r="R678" s="3" t="s">
        <v>323</v>
      </c>
      <c r="T678" s="3" t="s">
        <v>61</v>
      </c>
      <c r="U678" s="3"/>
      <c r="V678" s="3"/>
      <c r="W678" s="3"/>
    </row>
    <row r="679" spans="1:23" ht="13" x14ac:dyDescent="0.15">
      <c r="A679" s="2">
        <v>45699.687293645839</v>
      </c>
      <c r="B679" s="3" t="s">
        <v>135</v>
      </c>
      <c r="G679" s="3">
        <v>212</v>
      </c>
      <c r="L679" s="3" t="s">
        <v>324</v>
      </c>
      <c r="T679" s="3" t="s">
        <v>61</v>
      </c>
      <c r="U679" s="3"/>
      <c r="V679" s="3"/>
      <c r="W679" s="3"/>
    </row>
    <row r="680" spans="1:23" ht="13" x14ac:dyDescent="0.15">
      <c r="A680" s="2">
        <v>45699.687842569445</v>
      </c>
      <c r="B680" s="3" t="s">
        <v>135</v>
      </c>
      <c r="S680" s="3">
        <v>4</v>
      </c>
      <c r="T680" s="3" t="s">
        <v>61</v>
      </c>
      <c r="U680" s="3"/>
      <c r="V680" s="3"/>
      <c r="W680" s="3"/>
    </row>
    <row r="681" spans="1:23" ht="13" x14ac:dyDescent="0.15">
      <c r="A681" s="2">
        <v>45714.670232951394</v>
      </c>
      <c r="B681" s="3" t="s">
        <v>47</v>
      </c>
      <c r="D681" s="3">
        <v>2</v>
      </c>
      <c r="G681" s="3">
        <v>8</v>
      </c>
      <c r="H681" s="3">
        <v>27</v>
      </c>
      <c r="L681" s="3" t="s">
        <v>325</v>
      </c>
      <c r="P681" s="3" t="s">
        <v>116</v>
      </c>
      <c r="Q681" s="3" t="s">
        <v>240</v>
      </c>
      <c r="R681" s="3" t="s">
        <v>73</v>
      </c>
      <c r="T681" s="3" t="s">
        <v>50</v>
      </c>
      <c r="U681" s="3"/>
      <c r="V681" s="3"/>
      <c r="W681" s="3"/>
    </row>
    <row r="682" spans="1:23" ht="13" x14ac:dyDescent="0.15">
      <c r="A682" s="2">
        <v>45714.671562951393</v>
      </c>
      <c r="B682" s="3" t="s">
        <v>47</v>
      </c>
      <c r="D682" s="3">
        <v>4</v>
      </c>
      <c r="I682" s="3" t="s">
        <v>76</v>
      </c>
      <c r="J682" s="3" t="s">
        <v>25</v>
      </c>
      <c r="K682" s="3" t="s">
        <v>100</v>
      </c>
      <c r="L682" s="3" t="s">
        <v>325</v>
      </c>
      <c r="P682" s="3" t="s">
        <v>49</v>
      </c>
      <c r="Q682" s="3" t="s">
        <v>240</v>
      </c>
      <c r="R682" s="3" t="s">
        <v>73</v>
      </c>
      <c r="T682" s="3" t="s">
        <v>50</v>
      </c>
      <c r="U682" s="3"/>
      <c r="V682" s="3"/>
      <c r="W682" s="3"/>
    </row>
    <row r="683" spans="1:23" ht="13" x14ac:dyDescent="0.15">
      <c r="A683" s="2">
        <v>45714.672584965279</v>
      </c>
      <c r="B683" s="3" t="s">
        <v>47</v>
      </c>
      <c r="D683" s="3">
        <v>14</v>
      </c>
      <c r="I683" s="3" t="s">
        <v>24</v>
      </c>
      <c r="J683" s="3" t="s">
        <v>25</v>
      </c>
      <c r="K683" s="3" t="s">
        <v>37</v>
      </c>
      <c r="L683" s="3" t="s">
        <v>325</v>
      </c>
      <c r="P683" s="3" t="s">
        <v>49</v>
      </c>
      <c r="Q683" s="3" t="s">
        <v>290</v>
      </c>
      <c r="R683" s="3" t="s">
        <v>73</v>
      </c>
      <c r="T683" s="3" t="s">
        <v>50</v>
      </c>
      <c r="U683" s="3"/>
      <c r="V683" s="3"/>
      <c r="W683" s="3"/>
    </row>
    <row r="684" spans="1:23" ht="13" x14ac:dyDescent="0.15">
      <c r="A684" s="2">
        <v>45714.673764120365</v>
      </c>
      <c r="B684" s="3" t="s">
        <v>47</v>
      </c>
      <c r="D684" s="3">
        <v>12</v>
      </c>
      <c r="I684" s="3" t="s">
        <v>76</v>
      </c>
      <c r="J684" s="3" t="s">
        <v>77</v>
      </c>
      <c r="K684" s="3" t="s">
        <v>164</v>
      </c>
      <c r="P684" s="3" t="s">
        <v>49</v>
      </c>
      <c r="Q684" s="3" t="s">
        <v>290</v>
      </c>
      <c r="R684" s="3" t="s">
        <v>73</v>
      </c>
      <c r="T684" s="3" t="s">
        <v>50</v>
      </c>
      <c r="U684" s="3"/>
      <c r="V684" s="3"/>
      <c r="W684" s="3"/>
    </row>
    <row r="685" spans="1:23" ht="13" x14ac:dyDescent="0.15">
      <c r="A685" s="2">
        <v>45714.674733287036</v>
      </c>
      <c r="B685" s="3" t="s">
        <v>47</v>
      </c>
      <c r="D685" s="3">
        <v>41</v>
      </c>
      <c r="I685" s="3" t="s">
        <v>24</v>
      </c>
      <c r="J685" s="3" t="s">
        <v>25</v>
      </c>
      <c r="K685" s="3" t="s">
        <v>101</v>
      </c>
      <c r="Q685" s="3" t="s">
        <v>87</v>
      </c>
      <c r="R685" s="3" t="s">
        <v>73</v>
      </c>
      <c r="T685" s="3" t="s">
        <v>50</v>
      </c>
      <c r="U685" s="3"/>
      <c r="V685" s="3"/>
      <c r="W685" s="3"/>
    </row>
    <row r="686" spans="1:23" ht="13" x14ac:dyDescent="0.15">
      <c r="A686" s="2">
        <v>45714.675780868056</v>
      </c>
      <c r="B686" s="3" t="s">
        <v>47</v>
      </c>
      <c r="D686" s="3">
        <v>26</v>
      </c>
      <c r="I686" s="3" t="s">
        <v>24</v>
      </c>
      <c r="J686" s="3" t="s">
        <v>25</v>
      </c>
      <c r="K686" s="3" t="s">
        <v>164</v>
      </c>
      <c r="L686" s="3" t="s">
        <v>325</v>
      </c>
      <c r="R686" s="3" t="s">
        <v>117</v>
      </c>
      <c r="T686" s="3" t="s">
        <v>50</v>
      </c>
      <c r="U686" s="3"/>
      <c r="V686" s="3"/>
      <c r="W686" s="3"/>
    </row>
    <row r="687" spans="1:23" ht="13" x14ac:dyDescent="0.15">
      <c r="A687" s="2">
        <v>45714.676264537033</v>
      </c>
      <c r="B687" s="3" t="s">
        <v>47</v>
      </c>
      <c r="G687" s="3">
        <v>3</v>
      </c>
      <c r="H687" s="3">
        <v>14</v>
      </c>
      <c r="L687" s="3" t="s">
        <v>261</v>
      </c>
      <c r="R687" s="3" t="s">
        <v>221</v>
      </c>
      <c r="T687" s="3" t="s">
        <v>50</v>
      </c>
      <c r="U687" s="3"/>
      <c r="V687" s="3"/>
      <c r="W687" s="3"/>
    </row>
    <row r="688" spans="1:23" ht="13" x14ac:dyDescent="0.15">
      <c r="A688" s="2">
        <v>45714.676613240736</v>
      </c>
      <c r="B688" s="3" t="s">
        <v>47</v>
      </c>
      <c r="R688" s="3" t="s">
        <v>221</v>
      </c>
      <c r="T688" s="3" t="s">
        <v>50</v>
      </c>
      <c r="U688" s="3"/>
      <c r="V688" s="3"/>
      <c r="W688" s="3"/>
    </row>
    <row r="689" spans="1:23" ht="13" x14ac:dyDescent="0.15">
      <c r="A689" s="2">
        <v>45714.676923888888</v>
      </c>
      <c r="B689" s="3" t="s">
        <v>47</v>
      </c>
      <c r="R689" s="3" t="s">
        <v>221</v>
      </c>
      <c r="T689" s="3" t="s">
        <v>50</v>
      </c>
      <c r="U689" s="3"/>
      <c r="V689" s="3"/>
      <c r="W689" s="3"/>
    </row>
    <row r="690" spans="1:23" ht="13" x14ac:dyDescent="0.15">
      <c r="A690" s="2">
        <v>45715.454931168977</v>
      </c>
      <c r="B690" s="3" t="s">
        <v>149</v>
      </c>
      <c r="D690" s="3">
        <v>4</v>
      </c>
      <c r="G690" s="3">
        <v>24</v>
      </c>
      <c r="H690" s="3">
        <v>2</v>
      </c>
      <c r="I690" s="3" t="s">
        <v>84</v>
      </c>
      <c r="J690" s="3" t="s">
        <v>25</v>
      </c>
      <c r="K690" s="3" t="s">
        <v>138</v>
      </c>
      <c r="L690" s="3" t="s">
        <v>326</v>
      </c>
      <c r="T690" s="3" t="s">
        <v>45</v>
      </c>
      <c r="U690" s="3"/>
      <c r="V690" s="3"/>
      <c r="W690" s="3"/>
    </row>
    <row r="691" spans="1:23" ht="13" x14ac:dyDescent="0.15">
      <c r="A691" s="2">
        <v>45719.502425219907</v>
      </c>
      <c r="B691" s="3" t="s">
        <v>91</v>
      </c>
      <c r="D691" s="3">
        <v>3</v>
      </c>
      <c r="G691" s="3">
        <v>12</v>
      </c>
      <c r="I691" s="3" t="s">
        <v>76</v>
      </c>
      <c r="J691" s="3" t="s">
        <v>237</v>
      </c>
      <c r="K691" s="3" t="s">
        <v>97</v>
      </c>
      <c r="M691" s="3">
        <v>56</v>
      </c>
      <c r="Q691" s="3" t="s">
        <v>93</v>
      </c>
      <c r="R691" s="3" t="s">
        <v>327</v>
      </c>
      <c r="T691" s="3" t="s">
        <v>33</v>
      </c>
      <c r="U691" s="3"/>
      <c r="V691" s="3"/>
      <c r="W691" s="3"/>
    </row>
    <row r="692" spans="1:23" ht="13" x14ac:dyDescent="0.15">
      <c r="A692" s="2">
        <v>45719.50269872685</v>
      </c>
      <c r="B692" s="3" t="s">
        <v>91</v>
      </c>
      <c r="Q692" s="3" t="s">
        <v>106</v>
      </c>
      <c r="T692" s="3" t="s">
        <v>33</v>
      </c>
      <c r="U692" s="3"/>
      <c r="V692" s="3"/>
      <c r="W692" s="3"/>
    </row>
    <row r="693" spans="1:23" ht="13" x14ac:dyDescent="0.15">
      <c r="A693" s="2">
        <v>45719.502907476854</v>
      </c>
      <c r="B693" s="3" t="s">
        <v>91</v>
      </c>
      <c r="Q693" s="3" t="s">
        <v>110</v>
      </c>
      <c r="T693" s="3" t="s">
        <v>33</v>
      </c>
      <c r="U693" s="3"/>
      <c r="V693" s="3"/>
      <c r="W693" s="3"/>
    </row>
    <row r="694" spans="1:23" ht="13" x14ac:dyDescent="0.15">
      <c r="A694" s="2">
        <v>45719.543794062498</v>
      </c>
      <c r="B694" s="3" t="s">
        <v>91</v>
      </c>
      <c r="D694" s="3">
        <v>45</v>
      </c>
      <c r="I694" s="3" t="s">
        <v>24</v>
      </c>
      <c r="J694" s="3" t="s">
        <v>25</v>
      </c>
      <c r="K694" s="3" t="s">
        <v>101</v>
      </c>
      <c r="T694" s="3" t="s">
        <v>33</v>
      </c>
      <c r="U694" s="3"/>
      <c r="V694" s="3"/>
      <c r="W694" s="3"/>
    </row>
    <row r="695" spans="1:23" ht="13" x14ac:dyDescent="0.15">
      <c r="A695" s="2">
        <v>45719.544123275467</v>
      </c>
      <c r="B695" s="3" t="s">
        <v>91</v>
      </c>
      <c r="D695" s="3">
        <v>12</v>
      </c>
      <c r="I695" s="3" t="s">
        <v>24</v>
      </c>
      <c r="J695" s="3" t="s">
        <v>25</v>
      </c>
      <c r="K695" s="3" t="s">
        <v>37</v>
      </c>
      <c r="T695" s="3" t="s">
        <v>33</v>
      </c>
      <c r="U695" s="3"/>
      <c r="V695" s="3"/>
      <c r="W695" s="3"/>
    </row>
    <row r="696" spans="1:23" ht="13" x14ac:dyDescent="0.15">
      <c r="A696" s="2">
        <v>45719.544833865744</v>
      </c>
      <c r="B696" s="3" t="s">
        <v>91</v>
      </c>
      <c r="D696" s="3">
        <v>2</v>
      </c>
      <c r="I696" s="3" t="s">
        <v>24</v>
      </c>
      <c r="J696" s="3" t="s">
        <v>237</v>
      </c>
      <c r="K696" s="3" t="s">
        <v>97</v>
      </c>
      <c r="T696" s="3" t="s">
        <v>33</v>
      </c>
      <c r="U696" s="3"/>
      <c r="V696" s="3"/>
      <c r="W696" s="3"/>
    </row>
    <row r="697" spans="1:23" ht="13" x14ac:dyDescent="0.15">
      <c r="A697" s="2">
        <v>45719.545981388888</v>
      </c>
      <c r="B697" s="3" t="s">
        <v>91</v>
      </c>
      <c r="D697" s="3">
        <v>2</v>
      </c>
      <c r="I697" s="3" t="s">
        <v>35</v>
      </c>
      <c r="J697" s="3" t="s">
        <v>65</v>
      </c>
      <c r="K697" s="3" t="s">
        <v>159</v>
      </c>
      <c r="T697" s="3" t="s">
        <v>33</v>
      </c>
      <c r="U697" s="3"/>
      <c r="V697" s="3"/>
      <c r="W697" s="3"/>
    </row>
    <row r="698" spans="1:23" ht="13" x14ac:dyDescent="0.15">
      <c r="A698" s="2">
        <v>45719.546317037035</v>
      </c>
      <c r="B698" s="3" t="s">
        <v>91</v>
      </c>
      <c r="D698" s="3">
        <v>8</v>
      </c>
      <c r="I698" s="3" t="s">
        <v>82</v>
      </c>
      <c r="J698" s="3" t="s">
        <v>260</v>
      </c>
      <c r="K698" s="3" t="s">
        <v>97</v>
      </c>
      <c r="T698" s="3" t="s">
        <v>33</v>
      </c>
      <c r="U698" s="3"/>
      <c r="V698" s="3"/>
      <c r="W698" s="3"/>
    </row>
    <row r="699" spans="1:23" ht="13" x14ac:dyDescent="0.15">
      <c r="A699" s="2">
        <v>45719.546687743059</v>
      </c>
      <c r="B699" s="3" t="s">
        <v>91</v>
      </c>
      <c r="D699" s="3">
        <v>3</v>
      </c>
      <c r="I699" s="3" t="s">
        <v>82</v>
      </c>
      <c r="J699" s="3" t="s">
        <v>25</v>
      </c>
      <c r="K699" s="3" t="s">
        <v>164</v>
      </c>
      <c r="T699" s="3" t="s">
        <v>33</v>
      </c>
      <c r="U699" s="3"/>
      <c r="V699" s="3"/>
      <c r="W699" s="3"/>
    </row>
    <row r="700" spans="1:23" ht="13" x14ac:dyDescent="0.15">
      <c r="A700" s="2">
        <v>45719.547063078702</v>
      </c>
      <c r="B700" s="3" t="s">
        <v>91</v>
      </c>
      <c r="D700" s="3">
        <v>6</v>
      </c>
      <c r="I700" s="3" t="s">
        <v>35</v>
      </c>
      <c r="J700" s="3" t="s">
        <v>25</v>
      </c>
      <c r="K700" s="3" t="s">
        <v>164</v>
      </c>
      <c r="T700" s="3" t="s">
        <v>33</v>
      </c>
      <c r="U700" s="3"/>
      <c r="V700" s="3"/>
      <c r="W700" s="3"/>
    </row>
    <row r="701" spans="1:23" ht="13" x14ac:dyDescent="0.15">
      <c r="A701" s="2">
        <v>45719.547398043986</v>
      </c>
      <c r="B701" s="3" t="s">
        <v>91</v>
      </c>
      <c r="D701" s="3">
        <v>1</v>
      </c>
      <c r="I701" s="3" t="s">
        <v>82</v>
      </c>
      <c r="J701" s="3" t="s">
        <v>65</v>
      </c>
      <c r="K701" s="3" t="s">
        <v>159</v>
      </c>
      <c r="T701" s="3" t="s">
        <v>33</v>
      </c>
      <c r="U701" s="3"/>
      <c r="V701" s="3"/>
      <c r="W701" s="3"/>
    </row>
    <row r="702" spans="1:23" ht="13" x14ac:dyDescent="0.15">
      <c r="A702" s="2">
        <v>45719.547716145833</v>
      </c>
      <c r="B702" s="3" t="s">
        <v>91</v>
      </c>
      <c r="D702" s="3">
        <v>4</v>
      </c>
      <c r="I702" s="3" t="s">
        <v>24</v>
      </c>
      <c r="J702" s="3" t="s">
        <v>25</v>
      </c>
      <c r="K702" s="3" t="s">
        <v>100</v>
      </c>
      <c r="T702" s="3" t="s">
        <v>33</v>
      </c>
      <c r="U702" s="3"/>
      <c r="V702" s="3"/>
      <c r="W702" s="3"/>
    </row>
    <row r="703" spans="1:23" ht="13" x14ac:dyDescent="0.15">
      <c r="A703" s="2">
        <v>45719.590255300922</v>
      </c>
      <c r="B703" s="3" t="s">
        <v>91</v>
      </c>
      <c r="D703" s="3">
        <v>8</v>
      </c>
      <c r="I703" s="3" t="s">
        <v>82</v>
      </c>
      <c r="J703" s="3" t="s">
        <v>77</v>
      </c>
      <c r="K703" s="3" t="s">
        <v>37</v>
      </c>
      <c r="T703" s="3" t="s">
        <v>33</v>
      </c>
      <c r="U703" s="3"/>
      <c r="V703" s="3"/>
      <c r="W703" s="3"/>
    </row>
    <row r="704" spans="1:23" ht="13" x14ac:dyDescent="0.15">
      <c r="A704" s="2">
        <v>45719.590615439811</v>
      </c>
      <c r="B704" s="3" t="s">
        <v>91</v>
      </c>
      <c r="D704" s="3">
        <v>2</v>
      </c>
      <c r="I704" s="3" t="s">
        <v>35</v>
      </c>
      <c r="J704" s="3" t="s">
        <v>25</v>
      </c>
      <c r="K704" s="3" t="s">
        <v>97</v>
      </c>
      <c r="T704" s="3" t="s">
        <v>33</v>
      </c>
      <c r="U704" s="3"/>
      <c r="V704" s="3"/>
      <c r="W704" s="3"/>
    </row>
    <row r="705" spans="1:23" ht="13" x14ac:dyDescent="0.15">
      <c r="A705" s="2">
        <v>45719.590892094908</v>
      </c>
      <c r="B705" s="3" t="s">
        <v>91</v>
      </c>
      <c r="D705" s="3">
        <v>1</v>
      </c>
      <c r="I705" s="3" t="s">
        <v>35</v>
      </c>
      <c r="J705" s="3" t="s">
        <v>70</v>
      </c>
      <c r="K705" s="3" t="s">
        <v>97</v>
      </c>
      <c r="T705" s="3" t="s">
        <v>33</v>
      </c>
      <c r="U705" s="3"/>
      <c r="V705" s="3"/>
      <c r="W705" s="3"/>
    </row>
    <row r="706" spans="1:23" ht="13" x14ac:dyDescent="0.15">
      <c r="A706" s="2">
        <v>45719.59125518518</v>
      </c>
      <c r="B706" s="3" t="s">
        <v>91</v>
      </c>
      <c r="D706" s="3">
        <v>3</v>
      </c>
      <c r="I706" s="3" t="s">
        <v>82</v>
      </c>
      <c r="J706" s="3" t="s">
        <v>25</v>
      </c>
      <c r="K706" s="3" t="s">
        <v>97</v>
      </c>
      <c r="T706" s="3" t="s">
        <v>33</v>
      </c>
      <c r="U706" s="3"/>
      <c r="V706" s="3"/>
      <c r="W706" s="3"/>
    </row>
    <row r="707" spans="1:23" ht="13" x14ac:dyDescent="0.15">
      <c r="A707" s="2">
        <v>45723.41513332176</v>
      </c>
      <c r="B707" s="3" t="s">
        <v>174</v>
      </c>
      <c r="D707" s="3">
        <v>40</v>
      </c>
      <c r="H707" s="3">
        <v>20</v>
      </c>
      <c r="J707" s="3" t="s">
        <v>25</v>
      </c>
      <c r="K707" s="3" t="s">
        <v>40</v>
      </c>
      <c r="S707" s="3">
        <v>1</v>
      </c>
      <c r="T707" s="3" t="s">
        <v>53</v>
      </c>
      <c r="U707" s="3"/>
      <c r="V707" s="3"/>
      <c r="W707" s="3"/>
    </row>
    <row r="708" spans="1:23" ht="13" x14ac:dyDescent="0.15">
      <c r="A708" s="2">
        <v>45723.415709374996</v>
      </c>
      <c r="B708" s="3" t="s">
        <v>174</v>
      </c>
      <c r="J708" s="3" t="s">
        <v>77</v>
      </c>
      <c r="K708" s="3" t="s">
        <v>41</v>
      </c>
      <c r="T708" s="3" t="s">
        <v>53</v>
      </c>
      <c r="U708" s="3"/>
      <c r="V708" s="3"/>
      <c r="W708" s="3"/>
    </row>
    <row r="709" spans="1:23" ht="13" x14ac:dyDescent="0.15">
      <c r="A709" s="2">
        <v>45723.416150902776</v>
      </c>
      <c r="B709" s="3" t="s">
        <v>174</v>
      </c>
      <c r="Q709" s="3">
        <v>4</v>
      </c>
      <c r="T709" s="3" t="s">
        <v>53</v>
      </c>
      <c r="U709" s="3"/>
      <c r="V709" s="3"/>
      <c r="W709" s="3"/>
    </row>
    <row r="710" spans="1:23" ht="13" x14ac:dyDescent="0.15">
      <c r="A710" s="2">
        <v>45723.418426412041</v>
      </c>
      <c r="B710" s="3" t="s">
        <v>174</v>
      </c>
      <c r="Q710" s="3" t="s">
        <v>231</v>
      </c>
      <c r="T710" s="3" t="s">
        <v>53</v>
      </c>
      <c r="U710" s="3"/>
      <c r="V710" s="3"/>
      <c r="W710" s="3"/>
    </row>
    <row r="711" spans="1:23" ht="13" x14ac:dyDescent="0.15">
      <c r="A711" s="2">
        <v>45723.418821157407</v>
      </c>
      <c r="B711" s="3" t="s">
        <v>174</v>
      </c>
      <c r="Q711" s="3" t="s">
        <v>177</v>
      </c>
      <c r="T711" s="3" t="s">
        <v>53</v>
      </c>
      <c r="U711" s="3"/>
      <c r="V711" s="3"/>
      <c r="W711" s="3"/>
    </row>
    <row r="712" spans="1:23" ht="13" x14ac:dyDescent="0.15">
      <c r="A712" s="2">
        <v>45723.41910564815</v>
      </c>
      <c r="B712" s="3" t="s">
        <v>174</v>
      </c>
      <c r="Q712" s="3" t="s">
        <v>231</v>
      </c>
      <c r="T712" s="3" t="s">
        <v>53</v>
      </c>
      <c r="U712" s="3"/>
      <c r="V712" s="3"/>
      <c r="W712" s="3"/>
    </row>
    <row r="713" spans="1:23" ht="13" x14ac:dyDescent="0.15">
      <c r="A713" s="2">
        <v>45723.420321770835</v>
      </c>
      <c r="B713" s="3" t="s">
        <v>174</v>
      </c>
      <c r="I713" s="3" t="s">
        <v>102</v>
      </c>
      <c r="Q713" s="3" t="s">
        <v>177</v>
      </c>
      <c r="T713" s="3" t="s">
        <v>53</v>
      </c>
      <c r="U713" s="3"/>
      <c r="V713" s="3"/>
      <c r="W713" s="3"/>
    </row>
    <row r="714" spans="1:23" ht="13" x14ac:dyDescent="0.15">
      <c r="A714" s="2">
        <v>45723.420568125002</v>
      </c>
      <c r="B714" s="3" t="s">
        <v>174</v>
      </c>
      <c r="I714" s="3" t="s">
        <v>76</v>
      </c>
      <c r="T714" s="3" t="s">
        <v>53</v>
      </c>
      <c r="U714" s="3"/>
      <c r="V714" s="3"/>
      <c r="W714" s="3"/>
    </row>
    <row r="715" spans="1:23" ht="13" x14ac:dyDescent="0.15">
      <c r="A715" s="2">
        <v>45723.420960648145</v>
      </c>
      <c r="B715" s="3" t="s">
        <v>174</v>
      </c>
      <c r="I715" s="3" t="s">
        <v>84</v>
      </c>
      <c r="T715" s="3" t="s">
        <v>53</v>
      </c>
      <c r="U715" s="3"/>
      <c r="V715" s="3"/>
      <c r="W715" s="3"/>
    </row>
    <row r="716" spans="1:23" ht="13" x14ac:dyDescent="0.15">
      <c r="A716" s="2">
        <v>45723.421419270831</v>
      </c>
      <c r="B716" s="3" t="s">
        <v>174</v>
      </c>
      <c r="I716" s="3" t="s">
        <v>84</v>
      </c>
      <c r="T716" s="3" t="s">
        <v>53</v>
      </c>
      <c r="U716" s="3"/>
      <c r="V716" s="3"/>
      <c r="W716" s="3"/>
    </row>
    <row r="717" spans="1:23" ht="13" x14ac:dyDescent="0.15">
      <c r="A717" s="2">
        <v>45723.545938437499</v>
      </c>
      <c r="B717" s="3" t="s">
        <v>238</v>
      </c>
      <c r="D717" s="3">
        <v>22</v>
      </c>
      <c r="G717" s="3">
        <v>2</v>
      </c>
      <c r="H717" s="3">
        <v>33</v>
      </c>
      <c r="I717" s="3" t="s">
        <v>82</v>
      </c>
      <c r="J717" s="3" t="s">
        <v>25</v>
      </c>
      <c r="K717" s="3" t="s">
        <v>26</v>
      </c>
      <c r="L717" s="3" t="s">
        <v>143</v>
      </c>
      <c r="M717" s="3">
        <v>20</v>
      </c>
      <c r="Q717" s="3" t="s">
        <v>328</v>
      </c>
      <c r="S717" s="3">
        <v>0</v>
      </c>
      <c r="T717" s="3" t="s">
        <v>42</v>
      </c>
      <c r="U717" s="3"/>
      <c r="V717" s="3"/>
      <c r="W717" s="3"/>
    </row>
    <row r="718" spans="1:23" ht="13" x14ac:dyDescent="0.15">
      <c r="A718" s="2">
        <v>45723.54617869213</v>
      </c>
      <c r="B718" s="3" t="s">
        <v>238</v>
      </c>
      <c r="I718" s="3" t="s">
        <v>82</v>
      </c>
      <c r="J718" s="3" t="s">
        <v>25</v>
      </c>
      <c r="K718" s="3" t="s">
        <v>140</v>
      </c>
      <c r="T718" s="3" t="s">
        <v>42</v>
      </c>
      <c r="U718" s="3"/>
      <c r="V718" s="3"/>
      <c r="W718" s="3"/>
    </row>
    <row r="719" spans="1:23" ht="13" x14ac:dyDescent="0.15">
      <c r="A719" s="2">
        <v>45723.546491250003</v>
      </c>
      <c r="B719" s="3" t="s">
        <v>238</v>
      </c>
      <c r="I719" s="3" t="s">
        <v>82</v>
      </c>
      <c r="J719" s="3" t="s">
        <v>25</v>
      </c>
      <c r="K719" s="3" t="s">
        <v>139</v>
      </c>
      <c r="T719" s="3" t="s">
        <v>42</v>
      </c>
      <c r="U719" s="3"/>
      <c r="V719" s="3"/>
      <c r="W719" s="3"/>
    </row>
    <row r="720" spans="1:23" ht="13" x14ac:dyDescent="0.15">
      <c r="A720" s="2">
        <v>45723.546713425923</v>
      </c>
      <c r="B720" s="3" t="s">
        <v>238</v>
      </c>
      <c r="I720" s="3" t="s">
        <v>82</v>
      </c>
      <c r="J720" s="3" t="s">
        <v>25</v>
      </c>
      <c r="K720" s="3" t="s">
        <v>139</v>
      </c>
      <c r="T720" s="3" t="s">
        <v>42</v>
      </c>
      <c r="U720" s="3"/>
      <c r="V720" s="3"/>
      <c r="W720" s="3"/>
    </row>
    <row r="721" spans="1:23" ht="13" x14ac:dyDescent="0.15">
      <c r="A721" s="2">
        <v>45723.546901180554</v>
      </c>
      <c r="B721" s="3" t="s">
        <v>238</v>
      </c>
      <c r="I721" s="3" t="s">
        <v>82</v>
      </c>
      <c r="J721" s="3" t="s">
        <v>25</v>
      </c>
      <c r="K721" s="3" t="s">
        <v>138</v>
      </c>
      <c r="T721" s="3" t="s">
        <v>42</v>
      </c>
      <c r="U721" s="3"/>
      <c r="V721" s="3"/>
      <c r="W721" s="3"/>
    </row>
    <row r="722" spans="1:23" ht="13" x14ac:dyDescent="0.15">
      <c r="A722" s="2">
        <v>45723.547120011572</v>
      </c>
      <c r="B722" s="3" t="s">
        <v>238</v>
      </c>
      <c r="I722" s="3" t="s">
        <v>82</v>
      </c>
      <c r="J722" s="3" t="s">
        <v>25</v>
      </c>
      <c r="K722" s="3" t="s">
        <v>146</v>
      </c>
      <c r="T722" s="3" t="s">
        <v>42</v>
      </c>
      <c r="U722" s="3"/>
      <c r="V722" s="3"/>
      <c r="W722" s="3"/>
    </row>
    <row r="723" spans="1:23" ht="13" x14ac:dyDescent="0.15">
      <c r="A723" s="2">
        <v>45723.547327418986</v>
      </c>
      <c r="B723" s="3" t="s">
        <v>238</v>
      </c>
      <c r="I723" s="3" t="s">
        <v>82</v>
      </c>
      <c r="J723" s="3" t="s">
        <v>25</v>
      </c>
      <c r="K723" s="3" t="s">
        <v>146</v>
      </c>
      <c r="T723" s="3" t="s">
        <v>42</v>
      </c>
      <c r="U723" s="3"/>
      <c r="V723" s="3"/>
      <c r="W723" s="3"/>
    </row>
    <row r="724" spans="1:23" ht="13" x14ac:dyDescent="0.15">
      <c r="A724" s="2">
        <v>45723.547485578703</v>
      </c>
      <c r="B724" s="3" t="s">
        <v>238</v>
      </c>
      <c r="I724" s="3" t="s">
        <v>82</v>
      </c>
      <c r="J724" s="3" t="s">
        <v>25</v>
      </c>
      <c r="K724" s="3" t="s">
        <v>151</v>
      </c>
      <c r="T724" s="3" t="s">
        <v>42</v>
      </c>
      <c r="U724" s="3"/>
      <c r="V724" s="3"/>
      <c r="W724" s="3"/>
    </row>
    <row r="725" spans="1:23" ht="13" x14ac:dyDescent="0.15">
      <c r="A725" s="2">
        <v>45723.547687604165</v>
      </c>
      <c r="B725" s="3" t="s">
        <v>238</v>
      </c>
      <c r="I725" s="3" t="s">
        <v>82</v>
      </c>
      <c r="J725" s="3" t="s">
        <v>25</v>
      </c>
      <c r="K725" s="3" t="s">
        <v>142</v>
      </c>
      <c r="T725" s="3" t="s">
        <v>42</v>
      </c>
      <c r="U725" s="3"/>
      <c r="V725" s="3"/>
      <c r="W725" s="3"/>
    </row>
    <row r="726" spans="1:23" ht="13" x14ac:dyDescent="0.15">
      <c r="A726" s="2">
        <v>45723.547910659719</v>
      </c>
      <c r="B726" s="3" t="s">
        <v>238</v>
      </c>
      <c r="I726" s="3" t="s">
        <v>82</v>
      </c>
      <c r="J726" s="3" t="s">
        <v>25</v>
      </c>
      <c r="K726" s="3" t="s">
        <v>152</v>
      </c>
      <c r="T726" s="3" t="s">
        <v>42</v>
      </c>
      <c r="U726" s="3"/>
      <c r="V726" s="3"/>
      <c r="W726" s="3"/>
    </row>
    <row r="727" spans="1:23" ht="13" x14ac:dyDescent="0.15">
      <c r="A727" s="2">
        <v>45723.548399803243</v>
      </c>
      <c r="B727" s="3" t="s">
        <v>238</v>
      </c>
      <c r="I727" s="3" t="s">
        <v>35</v>
      </c>
      <c r="J727" s="3" t="s">
        <v>103</v>
      </c>
      <c r="K727" s="3" t="s">
        <v>152</v>
      </c>
      <c r="T727" s="3" t="s">
        <v>42</v>
      </c>
      <c r="U727" s="3"/>
      <c r="V727" s="3"/>
      <c r="W727" s="3"/>
    </row>
    <row r="728" spans="1:23" ht="13" x14ac:dyDescent="0.15">
      <c r="A728" s="2">
        <v>45723.554133622689</v>
      </c>
      <c r="B728" s="3" t="s">
        <v>238</v>
      </c>
      <c r="I728" s="3" t="s">
        <v>76</v>
      </c>
      <c r="J728" s="3" t="s">
        <v>25</v>
      </c>
      <c r="K728" s="3" t="s">
        <v>138</v>
      </c>
      <c r="T728" s="3" t="s">
        <v>42</v>
      </c>
      <c r="U728" s="3"/>
      <c r="V728" s="3"/>
      <c r="W728" s="3"/>
    </row>
    <row r="729" spans="1:23" ht="13" x14ac:dyDescent="0.15">
      <c r="A729" s="2">
        <v>45723.55434091435</v>
      </c>
      <c r="B729" s="3" t="s">
        <v>238</v>
      </c>
      <c r="I729" s="3" t="s">
        <v>76</v>
      </c>
      <c r="J729" s="3" t="s">
        <v>25</v>
      </c>
      <c r="K729" s="3" t="s">
        <v>146</v>
      </c>
      <c r="T729" s="3" t="s">
        <v>42</v>
      </c>
      <c r="U729" s="3"/>
      <c r="V729" s="3"/>
      <c r="W729" s="3"/>
    </row>
    <row r="730" spans="1:23" ht="13" x14ac:dyDescent="0.15">
      <c r="A730" s="2">
        <v>45723.554581956021</v>
      </c>
      <c r="B730" s="3" t="s">
        <v>238</v>
      </c>
      <c r="I730" s="3" t="s">
        <v>76</v>
      </c>
      <c r="J730" s="3" t="s">
        <v>77</v>
      </c>
      <c r="K730" s="3" t="s">
        <v>151</v>
      </c>
      <c r="T730" s="3" t="s">
        <v>42</v>
      </c>
      <c r="U730" s="3"/>
      <c r="V730" s="3"/>
      <c r="W730" s="3"/>
    </row>
    <row r="731" spans="1:23" ht="13" x14ac:dyDescent="0.15">
      <c r="A731" s="2">
        <v>45723.55495395833</v>
      </c>
      <c r="B731" s="3" t="s">
        <v>238</v>
      </c>
      <c r="I731" s="3" t="s">
        <v>84</v>
      </c>
      <c r="J731" s="3" t="s">
        <v>103</v>
      </c>
      <c r="K731" s="3" t="s">
        <v>151</v>
      </c>
      <c r="P731" s="3" t="s">
        <v>153</v>
      </c>
      <c r="T731" s="3" t="s">
        <v>42</v>
      </c>
      <c r="U731" s="3"/>
      <c r="V731" s="3"/>
      <c r="W731" s="3"/>
    </row>
    <row r="732" spans="1:23" ht="13" x14ac:dyDescent="0.15">
      <c r="A732" s="2">
        <v>45726.599943402776</v>
      </c>
      <c r="B732" s="3" t="s">
        <v>295</v>
      </c>
      <c r="D732" s="3">
        <v>8</v>
      </c>
      <c r="I732" s="3" t="s">
        <v>84</v>
      </c>
      <c r="J732" s="3" t="s">
        <v>70</v>
      </c>
      <c r="K732" s="3" t="s">
        <v>139</v>
      </c>
      <c r="P732" s="3" t="s">
        <v>329</v>
      </c>
      <c r="R732" s="3" t="s">
        <v>330</v>
      </c>
      <c r="T732" s="3" t="s">
        <v>32</v>
      </c>
      <c r="U732" s="3"/>
      <c r="V732" s="3"/>
      <c r="W732" s="3"/>
    </row>
    <row r="733" spans="1:23" ht="13" x14ac:dyDescent="0.15">
      <c r="A733" s="2">
        <v>45726.600615844909</v>
      </c>
      <c r="B733" s="3" t="s">
        <v>295</v>
      </c>
      <c r="D733" s="3">
        <v>4</v>
      </c>
      <c r="I733" s="3" t="s">
        <v>84</v>
      </c>
      <c r="J733" s="3" t="s">
        <v>70</v>
      </c>
      <c r="K733" s="3" t="s">
        <v>138</v>
      </c>
      <c r="P733" s="3" t="s">
        <v>329</v>
      </c>
      <c r="R733" s="3" t="s">
        <v>331</v>
      </c>
      <c r="T733" s="3" t="s">
        <v>32</v>
      </c>
      <c r="U733" s="3"/>
      <c r="V733" s="3"/>
      <c r="W733" s="3"/>
    </row>
    <row r="734" spans="1:23" ht="13" x14ac:dyDescent="0.15">
      <c r="A734" s="2">
        <v>45726.601567766207</v>
      </c>
      <c r="B734" s="3" t="s">
        <v>295</v>
      </c>
      <c r="D734" s="3">
        <v>4</v>
      </c>
      <c r="I734" s="3" t="s">
        <v>76</v>
      </c>
      <c r="J734" s="3" t="s">
        <v>77</v>
      </c>
      <c r="K734" s="3" t="s">
        <v>138</v>
      </c>
      <c r="S734" s="3">
        <v>1</v>
      </c>
      <c r="T734" s="3" t="s">
        <v>32</v>
      </c>
      <c r="U734" s="3"/>
      <c r="V734" s="3"/>
      <c r="W734" s="3"/>
    </row>
    <row r="735" spans="1:23" ht="13" x14ac:dyDescent="0.15">
      <c r="A735" s="2">
        <v>45726.601913541672</v>
      </c>
      <c r="B735" s="3" t="s">
        <v>295</v>
      </c>
      <c r="D735" s="3">
        <v>4</v>
      </c>
      <c r="I735" s="3" t="s">
        <v>76</v>
      </c>
      <c r="J735" s="3" t="s">
        <v>77</v>
      </c>
      <c r="K735" s="3" t="s">
        <v>146</v>
      </c>
      <c r="S735" s="3">
        <v>1</v>
      </c>
      <c r="T735" s="3" t="s">
        <v>32</v>
      </c>
      <c r="U735" s="3"/>
      <c r="V735" s="3"/>
      <c r="W735" s="3"/>
    </row>
    <row r="736" spans="1:23" ht="13" x14ac:dyDescent="0.15">
      <c r="A736" s="2">
        <v>45726.603696724538</v>
      </c>
      <c r="B736" s="3" t="s">
        <v>295</v>
      </c>
      <c r="D736" s="3">
        <v>12</v>
      </c>
      <c r="F736" s="3">
        <v>7590.45</v>
      </c>
      <c r="I736" s="3" t="s">
        <v>76</v>
      </c>
      <c r="J736" s="3" t="s">
        <v>25</v>
      </c>
      <c r="K736" s="3" t="s">
        <v>142</v>
      </c>
      <c r="M736" s="3">
        <v>432</v>
      </c>
      <c r="P736" s="3" t="s">
        <v>332</v>
      </c>
      <c r="Q736" s="3" t="s">
        <v>333</v>
      </c>
      <c r="T736" s="3" t="s">
        <v>32</v>
      </c>
      <c r="U736" s="3"/>
      <c r="V736" s="3"/>
      <c r="W736" s="3"/>
    </row>
    <row r="737" spans="1:23" ht="13" x14ac:dyDescent="0.15">
      <c r="A737" s="2">
        <v>45726.604779016205</v>
      </c>
      <c r="B737" s="3" t="s">
        <v>295</v>
      </c>
      <c r="I737" s="3" t="s">
        <v>82</v>
      </c>
      <c r="J737" s="3" t="s">
        <v>77</v>
      </c>
      <c r="K737" s="3" t="s">
        <v>66</v>
      </c>
      <c r="P737" s="3" t="s">
        <v>332</v>
      </c>
      <c r="Q737" s="3" t="s">
        <v>334</v>
      </c>
      <c r="T737" s="3" t="s">
        <v>32</v>
      </c>
      <c r="U737" s="3"/>
      <c r="V737" s="3"/>
      <c r="W737" s="3"/>
    </row>
    <row r="738" spans="1:23" ht="13" x14ac:dyDescent="0.15">
      <c r="A738" s="2">
        <v>45727.444547060186</v>
      </c>
      <c r="B738" s="3" t="s">
        <v>79</v>
      </c>
      <c r="H738" s="3">
        <v>30</v>
      </c>
      <c r="M738" s="3">
        <v>6</v>
      </c>
      <c r="T738" s="3" t="s">
        <v>52</v>
      </c>
      <c r="U738" s="3"/>
      <c r="V738" s="3"/>
      <c r="W738" s="3"/>
    </row>
    <row r="739" spans="1:23" ht="13" x14ac:dyDescent="0.15">
      <c r="A739" s="2">
        <v>45727.452710046295</v>
      </c>
      <c r="B739" s="3" t="s">
        <v>79</v>
      </c>
      <c r="D739" s="3">
        <v>8</v>
      </c>
      <c r="H739" s="3">
        <v>20</v>
      </c>
      <c r="I739" s="3" t="s">
        <v>102</v>
      </c>
      <c r="J739" s="3" t="s">
        <v>103</v>
      </c>
      <c r="K739" s="3" t="s">
        <v>78</v>
      </c>
      <c r="T739" s="3" t="s">
        <v>52</v>
      </c>
      <c r="U739" s="3"/>
      <c r="V739" s="3"/>
      <c r="W739" s="3"/>
    </row>
    <row r="740" spans="1:23" ht="13" x14ac:dyDescent="0.15">
      <c r="A740" s="2">
        <v>45728.434700648148</v>
      </c>
      <c r="B740" s="3" t="s">
        <v>69</v>
      </c>
      <c r="M740" s="3">
        <v>3</v>
      </c>
      <c r="T740" s="3" t="s">
        <v>54</v>
      </c>
      <c r="U740" s="3"/>
      <c r="V740" s="3"/>
      <c r="W740" s="3"/>
    </row>
    <row r="741" spans="1:23" ht="13" x14ac:dyDescent="0.15">
      <c r="A741" s="2">
        <v>45740.453341168977</v>
      </c>
      <c r="B741" s="3" t="s">
        <v>69</v>
      </c>
      <c r="M741" s="3">
        <v>24</v>
      </c>
      <c r="T741" s="3" t="s">
        <v>54</v>
      </c>
      <c r="U741" s="3"/>
      <c r="V741" s="3"/>
      <c r="W741" s="3"/>
    </row>
    <row r="742" spans="1:23" ht="13" x14ac:dyDescent="0.15">
      <c r="A742" s="2">
        <v>45744.397610462962</v>
      </c>
      <c r="B742" s="3" t="s">
        <v>69</v>
      </c>
      <c r="M742" s="3">
        <v>2</v>
      </c>
      <c r="T742" s="3" t="s">
        <v>54</v>
      </c>
      <c r="U742" s="3"/>
      <c r="V742" s="3"/>
      <c r="W742" s="3"/>
    </row>
    <row r="743" spans="1:23" ht="13" x14ac:dyDescent="0.15">
      <c r="A743" s="2">
        <v>45744.420037083335</v>
      </c>
      <c r="B743" s="3" t="s">
        <v>69</v>
      </c>
      <c r="M743" s="3">
        <v>7</v>
      </c>
      <c r="T743" s="3" t="s">
        <v>54</v>
      </c>
      <c r="U743" s="3"/>
      <c r="V743" s="3"/>
      <c r="W743" s="3"/>
    </row>
    <row r="744" spans="1:23" ht="13" x14ac:dyDescent="0.15">
      <c r="A744" s="2">
        <v>45748.295679560186</v>
      </c>
      <c r="B744" s="3" t="s">
        <v>141</v>
      </c>
      <c r="C744" s="3">
        <v>1259</v>
      </c>
      <c r="D744" s="3">
        <v>12</v>
      </c>
      <c r="G744" s="3">
        <v>25</v>
      </c>
      <c r="H744" s="3">
        <v>5</v>
      </c>
      <c r="I744" s="3" t="s">
        <v>82</v>
      </c>
      <c r="J744" s="3" t="s">
        <v>70</v>
      </c>
      <c r="K744" s="3" t="s">
        <v>146</v>
      </c>
      <c r="L744" s="3" t="s">
        <v>335</v>
      </c>
      <c r="M744" s="3">
        <v>128</v>
      </c>
      <c r="P744" s="3" t="s">
        <v>336</v>
      </c>
      <c r="Q744" s="3" t="s">
        <v>29</v>
      </c>
      <c r="R744" s="3" t="s">
        <v>337</v>
      </c>
      <c r="S744" s="3">
        <v>1</v>
      </c>
      <c r="T744" s="3" t="s">
        <v>59</v>
      </c>
      <c r="U744" s="3"/>
      <c r="V744" s="3"/>
      <c r="W744" s="3"/>
    </row>
    <row r="745" spans="1:23" ht="13" x14ac:dyDescent="0.15">
      <c r="A745" s="2">
        <v>45750.342054872686</v>
      </c>
      <c r="B745" s="3" t="s">
        <v>118</v>
      </c>
      <c r="D745" s="3">
        <v>151</v>
      </c>
      <c r="G745" s="3">
        <v>15</v>
      </c>
      <c r="H745" s="3">
        <v>15</v>
      </c>
      <c r="L745" s="3" t="s">
        <v>338</v>
      </c>
      <c r="R745" s="3" t="s">
        <v>201</v>
      </c>
      <c r="T745" s="3" t="s">
        <v>60</v>
      </c>
      <c r="U745" s="3"/>
      <c r="V745" s="3"/>
      <c r="W745" s="3"/>
    </row>
    <row r="746" spans="1:23" ht="13" x14ac:dyDescent="0.15">
      <c r="A746" s="2">
        <v>45750.342452222219</v>
      </c>
      <c r="B746" s="3" t="s">
        <v>118</v>
      </c>
      <c r="R746" s="3" t="s">
        <v>339</v>
      </c>
      <c r="T746" s="3" t="s">
        <v>60</v>
      </c>
      <c r="U746" s="3"/>
      <c r="V746" s="3"/>
      <c r="W746" s="3"/>
    </row>
    <row r="747" spans="1:23" ht="13" x14ac:dyDescent="0.15">
      <c r="A747" s="2">
        <v>45750.343442754631</v>
      </c>
      <c r="B747" s="3" t="s">
        <v>118</v>
      </c>
      <c r="R747" s="3" t="s">
        <v>234</v>
      </c>
      <c r="T747" s="3" t="s">
        <v>60</v>
      </c>
      <c r="U747" s="3"/>
      <c r="V747" s="3"/>
      <c r="W747" s="3"/>
    </row>
    <row r="748" spans="1:23" ht="13" x14ac:dyDescent="0.15">
      <c r="A748" s="2">
        <v>45750.487026944444</v>
      </c>
      <c r="B748" s="3" t="s">
        <v>91</v>
      </c>
      <c r="D748" s="3">
        <v>1</v>
      </c>
      <c r="F748" s="3">
        <v>500</v>
      </c>
      <c r="G748" s="3">
        <v>6</v>
      </c>
      <c r="I748" s="3" t="s">
        <v>35</v>
      </c>
      <c r="J748" s="3" t="s">
        <v>25</v>
      </c>
      <c r="K748" s="3" t="s">
        <v>100</v>
      </c>
      <c r="M748" s="3">
        <v>3</v>
      </c>
      <c r="P748" s="3" t="s">
        <v>92</v>
      </c>
      <c r="Q748" s="3" t="s">
        <v>93</v>
      </c>
      <c r="R748" s="3" t="s">
        <v>327</v>
      </c>
      <c r="T748" s="3" t="s">
        <v>33</v>
      </c>
      <c r="U748" s="3"/>
      <c r="V748" s="3"/>
      <c r="W748" s="3"/>
    </row>
    <row r="749" spans="1:23" ht="13" x14ac:dyDescent="0.15">
      <c r="A749" s="2">
        <v>45750.487846446762</v>
      </c>
      <c r="B749" s="3" t="s">
        <v>91</v>
      </c>
      <c r="D749" s="3">
        <v>4</v>
      </c>
      <c r="I749" s="3" t="s">
        <v>82</v>
      </c>
      <c r="J749" s="3" t="s">
        <v>77</v>
      </c>
      <c r="K749" s="3" t="s">
        <v>97</v>
      </c>
      <c r="M749" s="3">
        <v>6</v>
      </c>
      <c r="Q749" s="3" t="s">
        <v>106</v>
      </c>
      <c r="T749" s="3" t="s">
        <v>33</v>
      </c>
      <c r="U749" s="3"/>
      <c r="V749" s="3"/>
      <c r="W749" s="3"/>
    </row>
    <row r="750" spans="1:23" ht="13" x14ac:dyDescent="0.15">
      <c r="A750" s="2">
        <v>45750.488417442131</v>
      </c>
      <c r="B750" s="3" t="s">
        <v>91</v>
      </c>
      <c r="D750" s="3">
        <v>1</v>
      </c>
      <c r="I750" s="3" t="s">
        <v>82</v>
      </c>
      <c r="J750" s="3" t="s">
        <v>65</v>
      </c>
      <c r="K750" s="3" t="s">
        <v>159</v>
      </c>
      <c r="Q750" s="3" t="s">
        <v>110</v>
      </c>
      <c r="T750" s="3" t="s">
        <v>33</v>
      </c>
      <c r="U750" s="3"/>
      <c r="V750" s="3"/>
      <c r="W750" s="3"/>
    </row>
    <row r="751" spans="1:23" ht="13" x14ac:dyDescent="0.15">
      <c r="A751" s="2">
        <v>45750.48880013889</v>
      </c>
      <c r="B751" s="3" t="s">
        <v>91</v>
      </c>
      <c r="D751" s="3">
        <v>1</v>
      </c>
      <c r="I751" s="3" t="s">
        <v>35</v>
      </c>
      <c r="J751" s="3" t="s">
        <v>65</v>
      </c>
      <c r="K751" s="3" t="s">
        <v>159</v>
      </c>
      <c r="T751" s="3" t="s">
        <v>33</v>
      </c>
      <c r="U751" s="3"/>
      <c r="V751" s="3"/>
      <c r="W751" s="3"/>
    </row>
    <row r="752" spans="1:23" ht="13" x14ac:dyDescent="0.15">
      <c r="A752" s="2">
        <v>45750.489230995372</v>
      </c>
      <c r="B752" s="3" t="s">
        <v>91</v>
      </c>
      <c r="D752" s="3">
        <v>3</v>
      </c>
      <c r="I752" s="3" t="s">
        <v>24</v>
      </c>
      <c r="J752" s="3" t="s">
        <v>25</v>
      </c>
      <c r="K752" s="3" t="s">
        <v>100</v>
      </c>
      <c r="T752" s="3" t="s">
        <v>33</v>
      </c>
      <c r="U752" s="3"/>
      <c r="V752" s="3"/>
      <c r="W752" s="3"/>
    </row>
    <row r="753" spans="1:23" ht="13" x14ac:dyDescent="0.15">
      <c r="A753" s="2">
        <v>45750.489480671298</v>
      </c>
      <c r="B753" s="3" t="s">
        <v>91</v>
      </c>
      <c r="D753" s="3">
        <v>4</v>
      </c>
      <c r="I753" s="3" t="s">
        <v>35</v>
      </c>
      <c r="J753" s="3" t="s">
        <v>25</v>
      </c>
      <c r="K753" s="3" t="s">
        <v>97</v>
      </c>
      <c r="T753" s="3" t="s">
        <v>33</v>
      </c>
      <c r="U753" s="3"/>
      <c r="V753" s="3"/>
      <c r="W753" s="3"/>
    </row>
    <row r="754" spans="1:23" ht="13" x14ac:dyDescent="0.15">
      <c r="A754" s="2">
        <v>45750.49054731481</v>
      </c>
      <c r="B754" s="3" t="s">
        <v>91</v>
      </c>
      <c r="D754" s="3">
        <v>22</v>
      </c>
      <c r="G754" s="3">
        <v>4</v>
      </c>
      <c r="I754" s="3" t="s">
        <v>24</v>
      </c>
      <c r="J754" s="3" t="s">
        <v>25</v>
      </c>
      <c r="K754" s="3" t="s">
        <v>164</v>
      </c>
      <c r="M754" s="3">
        <v>31</v>
      </c>
      <c r="Q754" s="3" t="s">
        <v>106</v>
      </c>
      <c r="T754" s="3" t="s">
        <v>33</v>
      </c>
      <c r="U754" s="3"/>
      <c r="V754" s="3"/>
      <c r="W754" s="3"/>
    </row>
    <row r="755" spans="1:23" ht="13" x14ac:dyDescent="0.15">
      <c r="A755" s="2">
        <v>45750.490935624999</v>
      </c>
      <c r="B755" s="3" t="s">
        <v>91</v>
      </c>
      <c r="D755" s="3">
        <v>6</v>
      </c>
      <c r="I755" s="3" t="s">
        <v>24</v>
      </c>
      <c r="J755" s="3" t="s">
        <v>77</v>
      </c>
      <c r="K755" s="3" t="s">
        <v>97</v>
      </c>
      <c r="T755" s="3" t="s">
        <v>33</v>
      </c>
      <c r="U755" s="3"/>
      <c r="V755" s="3"/>
      <c r="W755" s="3"/>
    </row>
    <row r="756" spans="1:23" ht="13" x14ac:dyDescent="0.15">
      <c r="A756" s="2">
        <v>45750.49122325232</v>
      </c>
      <c r="B756" s="3" t="s">
        <v>91</v>
      </c>
      <c r="D756" s="3">
        <v>12</v>
      </c>
      <c r="I756" s="3" t="s">
        <v>24</v>
      </c>
      <c r="J756" s="3" t="s">
        <v>103</v>
      </c>
      <c r="K756" s="3" t="s">
        <v>97</v>
      </c>
      <c r="T756" s="3" t="s">
        <v>33</v>
      </c>
      <c r="U756" s="3"/>
      <c r="V756" s="3"/>
      <c r="W756" s="3"/>
    </row>
    <row r="757" spans="1:23" ht="13" x14ac:dyDescent="0.15">
      <c r="A757" s="2">
        <v>45750.491594768522</v>
      </c>
      <c r="B757" s="3" t="s">
        <v>91</v>
      </c>
      <c r="D757" s="3">
        <v>4</v>
      </c>
      <c r="I757" s="3" t="s">
        <v>24</v>
      </c>
      <c r="J757" s="3" t="s">
        <v>25</v>
      </c>
      <c r="K757" s="3" t="s">
        <v>100</v>
      </c>
      <c r="T757" s="3" t="s">
        <v>33</v>
      </c>
      <c r="U757" s="3"/>
      <c r="V757" s="3"/>
      <c r="W757" s="3"/>
    </row>
    <row r="758" spans="1:23" ht="13" x14ac:dyDescent="0.15">
      <c r="A758" s="2">
        <v>45750.492210590281</v>
      </c>
      <c r="B758" s="3" t="s">
        <v>91</v>
      </c>
      <c r="D758" s="3">
        <v>1</v>
      </c>
      <c r="I758" s="3" t="s">
        <v>24</v>
      </c>
      <c r="J758" s="3" t="s">
        <v>237</v>
      </c>
      <c r="K758" s="3" t="s">
        <v>97</v>
      </c>
      <c r="T758" s="3" t="s">
        <v>33</v>
      </c>
      <c r="U758" s="3"/>
      <c r="V758" s="3"/>
      <c r="W758" s="3"/>
    </row>
    <row r="759" spans="1:23" ht="13" x14ac:dyDescent="0.15">
      <c r="A759" s="2">
        <v>45750.492525347217</v>
      </c>
      <c r="B759" s="3" t="s">
        <v>91</v>
      </c>
      <c r="D759" s="3">
        <v>3</v>
      </c>
      <c r="I759" s="3" t="s">
        <v>82</v>
      </c>
      <c r="J759" s="3" t="s">
        <v>25</v>
      </c>
      <c r="K759" s="3" t="s">
        <v>164</v>
      </c>
      <c r="T759" s="3" t="s">
        <v>33</v>
      </c>
      <c r="U759" s="3"/>
      <c r="V759" s="3"/>
      <c r="W759" s="3"/>
    </row>
    <row r="760" spans="1:23" ht="13" x14ac:dyDescent="0.15">
      <c r="A760" s="2">
        <v>45750.512335405088</v>
      </c>
      <c r="B760" s="3" t="s">
        <v>118</v>
      </c>
      <c r="P760" s="3" t="s">
        <v>340</v>
      </c>
      <c r="R760" s="3" t="s">
        <v>199</v>
      </c>
      <c r="T760" s="3" t="s">
        <v>60</v>
      </c>
      <c r="U760" s="3"/>
      <c r="V760" s="3"/>
      <c r="W760" s="3"/>
    </row>
    <row r="761" spans="1:23" ht="13" x14ac:dyDescent="0.15">
      <c r="A761" s="2">
        <v>45750.513702627315</v>
      </c>
      <c r="B761" s="3" t="s">
        <v>118</v>
      </c>
      <c r="I761" s="3" t="s">
        <v>102</v>
      </c>
      <c r="J761" s="3" t="s">
        <v>77</v>
      </c>
      <c r="T761" s="3" t="s">
        <v>60</v>
      </c>
      <c r="U761" s="3"/>
      <c r="V761" s="3"/>
      <c r="W761" s="3"/>
    </row>
    <row r="762" spans="1:23" ht="13" x14ac:dyDescent="0.15">
      <c r="A762" s="2">
        <v>45750.514226516199</v>
      </c>
      <c r="B762" s="3" t="s">
        <v>118</v>
      </c>
      <c r="I762" s="3" t="s">
        <v>24</v>
      </c>
      <c r="J762" s="3" t="s">
        <v>36</v>
      </c>
      <c r="T762" s="3" t="s">
        <v>60</v>
      </c>
      <c r="U762" s="3"/>
      <c r="V762" s="3"/>
      <c r="W762" s="3"/>
    </row>
    <row r="763" spans="1:23" ht="13" x14ac:dyDescent="0.15">
      <c r="A763" s="2">
        <v>45758.587962557867</v>
      </c>
      <c r="B763" s="3" t="s">
        <v>69</v>
      </c>
      <c r="M763" s="3">
        <v>26</v>
      </c>
      <c r="T763" s="3" t="s">
        <v>54</v>
      </c>
      <c r="U763" s="3"/>
      <c r="V763" s="3"/>
      <c r="W763" s="3"/>
    </row>
    <row r="764" spans="1:23" ht="13" x14ac:dyDescent="0.15">
      <c r="A764" s="2">
        <v>45762.639951956022</v>
      </c>
      <c r="B764" s="3" t="s">
        <v>135</v>
      </c>
      <c r="R764" s="3" t="s">
        <v>341</v>
      </c>
      <c r="T764" s="3" t="s">
        <v>61</v>
      </c>
      <c r="U764" s="3"/>
      <c r="V764" s="3"/>
      <c r="W764" s="3"/>
    </row>
    <row r="765" spans="1:23" ht="13" x14ac:dyDescent="0.15">
      <c r="A765" s="2">
        <v>45763.625493807871</v>
      </c>
      <c r="B765" s="3" t="s">
        <v>47</v>
      </c>
      <c r="D765" s="3">
        <v>66</v>
      </c>
      <c r="G765" s="3">
        <v>4</v>
      </c>
      <c r="H765" s="3">
        <v>78</v>
      </c>
      <c r="I765" s="3" t="s">
        <v>24</v>
      </c>
      <c r="J765" s="3" t="s">
        <v>25</v>
      </c>
      <c r="K765" s="3" t="s">
        <v>101</v>
      </c>
      <c r="L765" s="3" t="s">
        <v>342</v>
      </c>
      <c r="M765" s="3">
        <v>36</v>
      </c>
      <c r="Q765" s="3" t="s">
        <v>87</v>
      </c>
      <c r="R765" s="3" t="s">
        <v>73</v>
      </c>
      <c r="S765" s="3">
        <v>2</v>
      </c>
      <c r="T765" s="3" t="s">
        <v>50</v>
      </c>
      <c r="U765" s="3"/>
      <c r="V765" s="3"/>
      <c r="W765" s="3"/>
    </row>
    <row r="766" spans="1:23" ht="13" x14ac:dyDescent="0.15">
      <c r="A766" s="2">
        <v>45763.628538611112</v>
      </c>
      <c r="B766" s="3" t="s">
        <v>47</v>
      </c>
      <c r="I766" s="3" t="s">
        <v>76</v>
      </c>
      <c r="J766" s="3" t="s">
        <v>103</v>
      </c>
      <c r="K766" s="3" t="s">
        <v>97</v>
      </c>
      <c r="L766" s="3" t="s">
        <v>343</v>
      </c>
      <c r="Q766" s="3" t="s">
        <v>344</v>
      </c>
      <c r="R766" s="3" t="s">
        <v>73</v>
      </c>
      <c r="T766" s="3" t="s">
        <v>50</v>
      </c>
      <c r="U766" s="3"/>
      <c r="V766" s="3"/>
      <c r="W766" s="3"/>
    </row>
    <row r="767" spans="1:23" ht="13" x14ac:dyDescent="0.15">
      <c r="A767" s="2">
        <v>45763.629255902779</v>
      </c>
      <c r="B767" s="3" t="s">
        <v>47</v>
      </c>
      <c r="I767" s="3" t="s">
        <v>76</v>
      </c>
      <c r="J767" s="3" t="s">
        <v>104</v>
      </c>
      <c r="K767" s="3" t="s">
        <v>37</v>
      </c>
      <c r="Q767" s="3" t="s">
        <v>344</v>
      </c>
      <c r="R767" s="3" t="s">
        <v>73</v>
      </c>
      <c r="T767" s="3" t="s">
        <v>50</v>
      </c>
      <c r="U767" s="3"/>
      <c r="V767" s="3"/>
      <c r="W767" s="3"/>
    </row>
    <row r="768" spans="1:23" ht="13" x14ac:dyDescent="0.15">
      <c r="A768" s="2">
        <v>45763.629830879625</v>
      </c>
      <c r="B768" s="3" t="s">
        <v>47</v>
      </c>
      <c r="Q768" s="3" t="s">
        <v>345</v>
      </c>
      <c r="R768" s="3" t="s">
        <v>73</v>
      </c>
      <c r="T768" s="3" t="s">
        <v>50</v>
      </c>
      <c r="U768" s="3"/>
      <c r="V768" s="3"/>
      <c r="W768" s="3"/>
    </row>
    <row r="769" spans="1:23" ht="13" x14ac:dyDescent="0.15">
      <c r="A769" s="2">
        <v>45763.630302268517</v>
      </c>
      <c r="B769" s="3" t="s">
        <v>47</v>
      </c>
      <c r="Q769" s="3" t="s">
        <v>240</v>
      </c>
      <c r="R769" s="3" t="s">
        <v>73</v>
      </c>
      <c r="T769" s="3" t="s">
        <v>50</v>
      </c>
      <c r="U769" s="3"/>
      <c r="V769" s="3"/>
      <c r="W769" s="3"/>
    </row>
    <row r="770" spans="1:23" ht="13" x14ac:dyDescent="0.15">
      <c r="A770" s="2">
        <v>45764.503868495369</v>
      </c>
      <c r="B770" s="3" t="s">
        <v>238</v>
      </c>
      <c r="F770" s="3">
        <v>0</v>
      </c>
      <c r="G770" s="3">
        <v>2</v>
      </c>
      <c r="H770" s="3">
        <v>15</v>
      </c>
      <c r="L770" s="3" t="s">
        <v>143</v>
      </c>
      <c r="M770" s="3">
        <v>42</v>
      </c>
      <c r="Q770" s="3" t="s">
        <v>262</v>
      </c>
      <c r="T770" s="3" t="s">
        <v>42</v>
      </c>
      <c r="U770" s="3"/>
      <c r="V770" s="3"/>
      <c r="W770" s="3"/>
    </row>
    <row r="771" spans="1:23" ht="13" x14ac:dyDescent="0.15">
      <c r="A771" s="2">
        <v>45764.504189606479</v>
      </c>
      <c r="B771" s="3" t="s">
        <v>238</v>
      </c>
      <c r="Q771" s="3" t="s">
        <v>264</v>
      </c>
      <c r="T771" s="3" t="s">
        <v>42</v>
      </c>
      <c r="U771" s="3"/>
      <c r="V771" s="3"/>
      <c r="W771" s="3"/>
    </row>
    <row r="772" spans="1:23" ht="13" x14ac:dyDescent="0.15">
      <c r="A772" s="2">
        <v>45764.504418020835</v>
      </c>
      <c r="B772" s="3" t="s">
        <v>238</v>
      </c>
      <c r="Q772" s="3" t="s">
        <v>328</v>
      </c>
      <c r="T772" s="3" t="s">
        <v>42</v>
      </c>
      <c r="U772" s="3"/>
      <c r="V772" s="3"/>
      <c r="W772" s="3"/>
    </row>
    <row r="773" spans="1:23" ht="13" x14ac:dyDescent="0.15">
      <c r="A773" s="2">
        <v>45765.341556712963</v>
      </c>
      <c r="B773" s="3" t="s">
        <v>118</v>
      </c>
      <c r="P773" s="3" t="s">
        <v>346</v>
      </c>
      <c r="T773" s="3" t="s">
        <v>60</v>
      </c>
      <c r="U773" s="3"/>
      <c r="V773" s="3"/>
      <c r="W773" s="3"/>
    </row>
    <row r="774" spans="1:23" ht="13" x14ac:dyDescent="0.15">
      <c r="A774" s="2">
        <v>45765.343624791669</v>
      </c>
      <c r="B774" s="3" t="s">
        <v>118</v>
      </c>
      <c r="P774" s="3" t="s">
        <v>347</v>
      </c>
      <c r="R774" s="3" t="s">
        <v>348</v>
      </c>
      <c r="T774" s="3" t="s">
        <v>60</v>
      </c>
      <c r="U774" s="3"/>
      <c r="V774" s="3"/>
      <c r="W774" s="3"/>
    </row>
    <row r="775" spans="1:23" ht="13" x14ac:dyDescent="0.15">
      <c r="A775" s="2">
        <v>45765.345098541671</v>
      </c>
      <c r="B775" s="3" t="s">
        <v>118</v>
      </c>
      <c r="R775" s="3" t="s">
        <v>349</v>
      </c>
      <c r="T775" s="3" t="s">
        <v>60</v>
      </c>
      <c r="U775" s="3"/>
      <c r="V775" s="3"/>
      <c r="W775" s="3"/>
    </row>
    <row r="776" spans="1:23" ht="13" x14ac:dyDescent="0.15">
      <c r="A776" s="2">
        <v>45765.545621365745</v>
      </c>
      <c r="B776" s="3" t="s">
        <v>135</v>
      </c>
      <c r="R776" s="3" t="s">
        <v>350</v>
      </c>
      <c r="T776" s="3" t="s">
        <v>61</v>
      </c>
      <c r="U776" s="3"/>
      <c r="V776" s="3"/>
      <c r="W776" s="3"/>
    </row>
    <row r="777" spans="1:23" ht="13" x14ac:dyDescent="0.15">
      <c r="A777" s="2">
        <v>45765.546681967593</v>
      </c>
      <c r="B777" s="3" t="s">
        <v>135</v>
      </c>
      <c r="D777" s="3">
        <v>5</v>
      </c>
      <c r="I777" s="3" t="s">
        <v>35</v>
      </c>
      <c r="J777" s="3" t="s">
        <v>77</v>
      </c>
      <c r="K777" s="3" t="s">
        <v>138</v>
      </c>
      <c r="R777" s="3" t="s">
        <v>351</v>
      </c>
      <c r="T777" s="3" t="s">
        <v>61</v>
      </c>
      <c r="U777" s="3"/>
      <c r="V777" s="3"/>
      <c r="W777" s="3"/>
    </row>
    <row r="778" spans="1:23" ht="13" x14ac:dyDescent="0.15">
      <c r="A778" s="2">
        <v>45765.54757166667</v>
      </c>
      <c r="B778" s="3" t="s">
        <v>135</v>
      </c>
      <c r="D778" s="3">
        <v>5</v>
      </c>
      <c r="I778" s="3" t="s">
        <v>84</v>
      </c>
      <c r="J778" s="3" t="s">
        <v>206</v>
      </c>
      <c r="K778" s="3" t="s">
        <v>139</v>
      </c>
      <c r="T778" s="3" t="s">
        <v>61</v>
      </c>
      <c r="U778" s="3"/>
      <c r="V778" s="3"/>
      <c r="W778" s="3"/>
    </row>
    <row r="779" spans="1:23" ht="13" x14ac:dyDescent="0.15">
      <c r="A779" s="2">
        <v>45765.548120509258</v>
      </c>
      <c r="B779" s="3" t="s">
        <v>135</v>
      </c>
      <c r="D779" s="3">
        <v>3</v>
      </c>
      <c r="I779" s="3" t="s">
        <v>24</v>
      </c>
      <c r="J779" s="3" t="s">
        <v>25</v>
      </c>
      <c r="K779" s="3" t="s">
        <v>140</v>
      </c>
      <c r="T779" s="3" t="s">
        <v>61</v>
      </c>
      <c r="U779" s="3"/>
      <c r="V779" s="3"/>
      <c r="W779" s="3"/>
    </row>
    <row r="780" spans="1:23" ht="13" x14ac:dyDescent="0.15">
      <c r="A780" s="2">
        <v>45765.54894241898</v>
      </c>
      <c r="B780" s="3" t="s">
        <v>135</v>
      </c>
      <c r="D780" s="3">
        <v>1</v>
      </c>
      <c r="J780" s="3" t="s">
        <v>25</v>
      </c>
      <c r="K780" s="3" t="s">
        <v>152</v>
      </c>
      <c r="T780" s="3" t="s">
        <v>61</v>
      </c>
      <c r="U780" s="3"/>
      <c r="V780" s="3"/>
      <c r="W780" s="3"/>
    </row>
    <row r="781" spans="1:23" ht="13" x14ac:dyDescent="0.15">
      <c r="A781" s="2">
        <v>45765.549558935185</v>
      </c>
      <c r="B781" s="3" t="s">
        <v>135</v>
      </c>
      <c r="D781" s="3">
        <v>1</v>
      </c>
      <c r="I781" s="3" t="s">
        <v>84</v>
      </c>
      <c r="J781" s="3" t="s">
        <v>25</v>
      </c>
      <c r="K781" s="3" t="s">
        <v>152</v>
      </c>
      <c r="T781" s="3" t="s">
        <v>61</v>
      </c>
      <c r="U781" s="3"/>
      <c r="V781" s="3"/>
      <c r="W781" s="3"/>
    </row>
    <row r="782" spans="1:23" ht="13" x14ac:dyDescent="0.15">
      <c r="A782" s="2">
        <v>45765.549907314809</v>
      </c>
      <c r="B782" s="3" t="s">
        <v>135</v>
      </c>
      <c r="D782" s="3">
        <v>1</v>
      </c>
      <c r="I782" s="3" t="s">
        <v>84</v>
      </c>
      <c r="J782" s="3" t="s">
        <v>25</v>
      </c>
      <c r="K782" s="3" t="s">
        <v>152</v>
      </c>
      <c r="T782" s="3" t="s">
        <v>61</v>
      </c>
      <c r="U782" s="3"/>
      <c r="V782" s="3"/>
      <c r="W782" s="3"/>
    </row>
    <row r="783" spans="1:23" ht="13" x14ac:dyDescent="0.15">
      <c r="A783" s="2">
        <v>45770.378861631943</v>
      </c>
      <c r="B783" s="3" t="s">
        <v>69</v>
      </c>
      <c r="M783" s="3">
        <v>61</v>
      </c>
      <c r="T783" s="3" t="s">
        <v>54</v>
      </c>
      <c r="U783" s="3"/>
      <c r="V783" s="3"/>
      <c r="W783" s="3"/>
    </row>
    <row r="784" spans="1:23" ht="13" x14ac:dyDescent="0.15">
      <c r="A784" s="2">
        <v>45770.653859467595</v>
      </c>
      <c r="B784" s="3" t="s">
        <v>135</v>
      </c>
      <c r="M784" s="3">
        <v>309</v>
      </c>
      <c r="T784" s="3" t="s">
        <v>61</v>
      </c>
      <c r="U784" s="3"/>
      <c r="V784" s="3"/>
      <c r="W784" s="3"/>
    </row>
    <row r="785" spans="1:23" ht="13" x14ac:dyDescent="0.15">
      <c r="A785" s="2">
        <v>45772.406163749998</v>
      </c>
      <c r="B785" s="3" t="s">
        <v>69</v>
      </c>
      <c r="M785" s="3">
        <v>29</v>
      </c>
      <c r="T785" s="3" t="s">
        <v>54</v>
      </c>
      <c r="U785" s="3"/>
      <c r="V785" s="3"/>
      <c r="W785" s="3"/>
    </row>
    <row r="786" spans="1:23" ht="13" x14ac:dyDescent="0.15">
      <c r="A786" s="2">
        <v>45785.490411284722</v>
      </c>
      <c r="B786" s="3" t="s">
        <v>91</v>
      </c>
      <c r="D786" s="3">
        <v>1</v>
      </c>
      <c r="G786" s="3">
        <v>38</v>
      </c>
      <c r="I786" s="3" t="s">
        <v>82</v>
      </c>
      <c r="J786" s="3" t="s">
        <v>65</v>
      </c>
      <c r="K786" s="3" t="s">
        <v>159</v>
      </c>
      <c r="M786" s="3">
        <v>85</v>
      </c>
      <c r="P786" s="3" t="s">
        <v>92</v>
      </c>
      <c r="Q786" s="3" t="s">
        <v>106</v>
      </c>
      <c r="R786" s="3" t="s">
        <v>352</v>
      </c>
      <c r="T786" s="3" t="s">
        <v>33</v>
      </c>
      <c r="U786" s="3"/>
      <c r="V786" s="3"/>
      <c r="W786" s="3"/>
    </row>
    <row r="787" spans="1:23" ht="13" x14ac:dyDescent="0.15">
      <c r="A787" s="2">
        <v>45785.592171828699</v>
      </c>
      <c r="B787" s="3" t="s">
        <v>91</v>
      </c>
      <c r="D787" s="3">
        <v>9</v>
      </c>
      <c r="I787" s="3" t="s">
        <v>24</v>
      </c>
      <c r="J787" s="3" t="s">
        <v>25</v>
      </c>
      <c r="K787" s="3" t="s">
        <v>164</v>
      </c>
      <c r="T787" s="3" t="s">
        <v>33</v>
      </c>
      <c r="U787" s="3"/>
      <c r="V787" s="3"/>
      <c r="W787" s="3"/>
    </row>
    <row r="788" spans="1:23" ht="13" x14ac:dyDescent="0.15">
      <c r="A788" s="2">
        <v>45785.594242199077</v>
      </c>
      <c r="B788" s="3" t="s">
        <v>91</v>
      </c>
      <c r="D788" s="3">
        <v>4</v>
      </c>
      <c r="I788" s="3" t="s">
        <v>24</v>
      </c>
      <c r="J788" s="3" t="s">
        <v>103</v>
      </c>
      <c r="K788" s="3" t="s">
        <v>97</v>
      </c>
      <c r="T788" s="3" t="s">
        <v>33</v>
      </c>
      <c r="U788" s="3"/>
      <c r="V788" s="3"/>
      <c r="W788" s="3"/>
    </row>
    <row r="789" spans="1:23" ht="13" x14ac:dyDescent="0.15">
      <c r="A789" s="2">
        <v>45785.59454770833</v>
      </c>
      <c r="B789" s="3" t="s">
        <v>91</v>
      </c>
      <c r="D789" s="3">
        <v>1</v>
      </c>
      <c r="I789" s="3" t="s">
        <v>24</v>
      </c>
      <c r="J789" s="3" t="s">
        <v>237</v>
      </c>
      <c r="K789" s="3" t="s">
        <v>97</v>
      </c>
      <c r="T789" s="3" t="s">
        <v>33</v>
      </c>
      <c r="U789" s="3"/>
      <c r="V789" s="3"/>
      <c r="W789" s="3"/>
    </row>
    <row r="790" spans="1:23" ht="13" x14ac:dyDescent="0.15">
      <c r="A790" s="2">
        <v>45785.595196481481</v>
      </c>
      <c r="B790" s="3" t="s">
        <v>91</v>
      </c>
      <c r="D790" s="3">
        <v>2</v>
      </c>
      <c r="I790" s="3" t="s">
        <v>82</v>
      </c>
      <c r="J790" s="3" t="s">
        <v>25</v>
      </c>
      <c r="K790" s="3" t="s">
        <v>101</v>
      </c>
      <c r="T790" s="3" t="s">
        <v>33</v>
      </c>
      <c r="U790" s="3"/>
      <c r="V790" s="3"/>
      <c r="W790" s="3"/>
    </row>
    <row r="791" spans="1:23" ht="13" x14ac:dyDescent="0.15">
      <c r="A791" s="2">
        <v>45785.595527546291</v>
      </c>
      <c r="B791" s="3" t="s">
        <v>91</v>
      </c>
      <c r="D791" s="3">
        <v>40</v>
      </c>
      <c r="I791" s="3" t="s">
        <v>35</v>
      </c>
      <c r="J791" s="3" t="s">
        <v>36</v>
      </c>
      <c r="K791" s="3" t="s">
        <v>101</v>
      </c>
      <c r="T791" s="3" t="s">
        <v>33</v>
      </c>
      <c r="U791" s="3"/>
      <c r="V791" s="3"/>
      <c r="W791" s="3"/>
    </row>
    <row r="792" spans="1:23" ht="13" x14ac:dyDescent="0.15">
      <c r="A792" s="2">
        <v>45785.596112893516</v>
      </c>
      <c r="B792" s="3" t="s">
        <v>91</v>
      </c>
      <c r="D792" s="3">
        <v>6</v>
      </c>
      <c r="I792" s="3" t="s">
        <v>24</v>
      </c>
      <c r="J792" s="3" t="s">
        <v>25</v>
      </c>
      <c r="K792" s="3" t="s">
        <v>100</v>
      </c>
      <c r="T792" s="3" t="s">
        <v>33</v>
      </c>
      <c r="U792" s="3"/>
      <c r="V792" s="3"/>
      <c r="W792" s="3"/>
    </row>
    <row r="793" spans="1:23" ht="13" x14ac:dyDescent="0.15">
      <c r="A793" s="2">
        <v>45785.596430358797</v>
      </c>
      <c r="B793" s="3" t="s">
        <v>91</v>
      </c>
      <c r="D793" s="3">
        <v>1</v>
      </c>
      <c r="I793" s="3" t="s">
        <v>35</v>
      </c>
      <c r="J793" s="3" t="s">
        <v>65</v>
      </c>
      <c r="K793" s="3" t="s">
        <v>159</v>
      </c>
      <c r="T793" s="3" t="s">
        <v>33</v>
      </c>
      <c r="U793" s="3"/>
      <c r="V793" s="3"/>
      <c r="W793" s="3"/>
    </row>
    <row r="794" spans="1:23" ht="13" x14ac:dyDescent="0.15">
      <c r="A794" s="2">
        <v>45785.596702569441</v>
      </c>
      <c r="B794" s="3" t="s">
        <v>91</v>
      </c>
      <c r="D794" s="3">
        <v>3</v>
      </c>
      <c r="I794" s="3" t="s">
        <v>35</v>
      </c>
      <c r="J794" s="3" t="s">
        <v>65</v>
      </c>
      <c r="K794" s="3" t="s">
        <v>159</v>
      </c>
      <c r="T794" s="3" t="s">
        <v>33</v>
      </c>
      <c r="U794" s="3"/>
      <c r="V794" s="3"/>
      <c r="W794" s="3"/>
    </row>
    <row r="795" spans="1:23" ht="13" x14ac:dyDescent="0.15">
      <c r="A795" s="2">
        <v>45785.597007881945</v>
      </c>
      <c r="B795" s="3" t="s">
        <v>91</v>
      </c>
      <c r="D795" s="3">
        <v>5</v>
      </c>
      <c r="I795" s="3" t="s">
        <v>82</v>
      </c>
      <c r="J795" s="3" t="s">
        <v>25</v>
      </c>
      <c r="K795" s="3" t="s">
        <v>164</v>
      </c>
      <c r="T795" s="3" t="s">
        <v>33</v>
      </c>
      <c r="U795" s="3"/>
      <c r="V795" s="3"/>
      <c r="W795" s="3"/>
    </row>
    <row r="796" spans="1:23" ht="13" x14ac:dyDescent="0.15">
      <c r="A796" s="2">
        <v>45785.606234548613</v>
      </c>
      <c r="B796" s="3" t="s">
        <v>91</v>
      </c>
      <c r="D796" s="3">
        <v>8</v>
      </c>
      <c r="I796" s="3" t="s">
        <v>82</v>
      </c>
      <c r="J796" s="3" t="s">
        <v>25</v>
      </c>
      <c r="K796" s="3" t="s">
        <v>164</v>
      </c>
      <c r="T796" s="3" t="s">
        <v>33</v>
      </c>
      <c r="U796" s="3"/>
      <c r="V796" s="3"/>
      <c r="W796" s="3"/>
    </row>
    <row r="797" spans="1:23" ht="13" x14ac:dyDescent="0.15">
      <c r="A797" s="2">
        <v>45785.606530393517</v>
      </c>
      <c r="B797" s="3" t="s">
        <v>91</v>
      </c>
      <c r="D797" s="3">
        <v>6</v>
      </c>
      <c r="I797" s="3" t="s">
        <v>24</v>
      </c>
      <c r="J797" s="3" t="s">
        <v>36</v>
      </c>
      <c r="K797" s="3" t="s">
        <v>101</v>
      </c>
      <c r="T797" s="3" t="s">
        <v>33</v>
      </c>
      <c r="U797" s="3"/>
      <c r="V797" s="3"/>
      <c r="W797" s="3"/>
    </row>
    <row r="798" spans="1:23" ht="13" x14ac:dyDescent="0.15">
      <c r="A798" s="2">
        <v>45785.606841215282</v>
      </c>
      <c r="B798" s="3" t="s">
        <v>91</v>
      </c>
      <c r="D798" s="3">
        <v>10</v>
      </c>
      <c r="I798" s="3" t="s">
        <v>24</v>
      </c>
      <c r="J798" s="3" t="s">
        <v>77</v>
      </c>
      <c r="K798" s="3" t="s">
        <v>101</v>
      </c>
      <c r="T798" s="3" t="s">
        <v>33</v>
      </c>
      <c r="U798" s="3"/>
      <c r="V798" s="3"/>
      <c r="W798" s="3"/>
    </row>
    <row r="799" spans="1:23" ht="13" x14ac:dyDescent="0.15">
      <c r="A799" s="2">
        <v>45785.607126423609</v>
      </c>
      <c r="B799" s="3" t="s">
        <v>91</v>
      </c>
      <c r="D799" s="3">
        <v>4</v>
      </c>
      <c r="I799" s="3" t="s">
        <v>24</v>
      </c>
      <c r="J799" s="3" t="s">
        <v>77</v>
      </c>
      <c r="K799" s="3" t="s">
        <v>100</v>
      </c>
      <c r="T799" s="3" t="s">
        <v>33</v>
      </c>
      <c r="U799" s="3"/>
      <c r="V799" s="3"/>
      <c r="W799" s="3"/>
    </row>
    <row r="800" spans="1:23" ht="13" x14ac:dyDescent="0.15">
      <c r="A800" s="2">
        <v>45785.60758369213</v>
      </c>
      <c r="B800" s="3" t="s">
        <v>91</v>
      </c>
      <c r="D800" s="3">
        <v>3</v>
      </c>
      <c r="I800" s="3" t="s">
        <v>24</v>
      </c>
      <c r="J800" s="3" t="s">
        <v>237</v>
      </c>
      <c r="K800" s="3" t="s">
        <v>97</v>
      </c>
      <c r="T800" s="3" t="s">
        <v>33</v>
      </c>
      <c r="U800" s="3"/>
      <c r="V800" s="3"/>
      <c r="W800" s="3"/>
    </row>
    <row r="801" spans="1:23" ht="13" x14ac:dyDescent="0.15">
      <c r="A801" s="2">
        <v>45785.607833981485</v>
      </c>
      <c r="B801" s="3" t="s">
        <v>91</v>
      </c>
      <c r="D801" s="3">
        <v>2</v>
      </c>
      <c r="I801" s="3" t="s">
        <v>24</v>
      </c>
      <c r="J801" s="3" t="s">
        <v>77</v>
      </c>
      <c r="K801" s="3" t="s">
        <v>97</v>
      </c>
      <c r="T801" s="3" t="s">
        <v>33</v>
      </c>
      <c r="U801" s="3"/>
      <c r="V801" s="3"/>
      <c r="W801" s="3"/>
    </row>
    <row r="802" spans="1:23" ht="13" x14ac:dyDescent="0.15">
      <c r="A802" s="2">
        <v>45785.608059652775</v>
      </c>
      <c r="B802" s="3" t="s">
        <v>91</v>
      </c>
      <c r="D802" s="3">
        <v>1</v>
      </c>
      <c r="I802" s="3" t="s">
        <v>24</v>
      </c>
      <c r="J802" s="3" t="s">
        <v>77</v>
      </c>
      <c r="K802" s="3" t="s">
        <v>97</v>
      </c>
      <c r="T802" s="3" t="s">
        <v>33</v>
      </c>
      <c r="U802" s="3"/>
      <c r="V802" s="3"/>
      <c r="W802" s="3"/>
    </row>
    <row r="803" spans="1:23" ht="13" x14ac:dyDescent="0.15">
      <c r="A803" s="2">
        <v>45785.608389675923</v>
      </c>
      <c r="B803" s="3" t="s">
        <v>91</v>
      </c>
      <c r="D803" s="3">
        <v>4</v>
      </c>
      <c r="I803" s="3" t="s">
        <v>35</v>
      </c>
      <c r="J803" s="3" t="s">
        <v>36</v>
      </c>
      <c r="K803" s="3" t="s">
        <v>101</v>
      </c>
      <c r="T803" s="3" t="s">
        <v>33</v>
      </c>
      <c r="U803" s="3"/>
      <c r="V803" s="3"/>
      <c r="W803" s="3"/>
    </row>
    <row r="804" spans="1:23" ht="13" x14ac:dyDescent="0.15">
      <c r="A804" s="2">
        <v>45792.597632152778</v>
      </c>
      <c r="B804" s="3" t="s">
        <v>149</v>
      </c>
      <c r="D804" s="3">
        <v>4</v>
      </c>
      <c r="G804" s="3">
        <v>24</v>
      </c>
      <c r="H804" s="3">
        <v>4</v>
      </c>
      <c r="I804" s="3" t="s">
        <v>82</v>
      </c>
      <c r="J804" s="3" t="s">
        <v>25</v>
      </c>
      <c r="K804" s="3" t="s">
        <v>138</v>
      </c>
      <c r="P804" s="3" t="s">
        <v>28</v>
      </c>
      <c r="Q804" s="3" t="s">
        <v>188</v>
      </c>
      <c r="R804" s="3" t="s">
        <v>229</v>
      </c>
      <c r="T804" s="3" t="s">
        <v>45</v>
      </c>
      <c r="U804" s="3"/>
      <c r="V804" s="3"/>
      <c r="W804" s="3"/>
    </row>
    <row r="805" spans="1:23" ht="13" x14ac:dyDescent="0.15">
      <c r="A805" s="2">
        <v>45792.598341238423</v>
      </c>
      <c r="B805" s="3" t="s">
        <v>149</v>
      </c>
      <c r="D805" s="3">
        <v>4</v>
      </c>
      <c r="G805" s="3">
        <v>30</v>
      </c>
      <c r="H805" s="3">
        <v>2</v>
      </c>
      <c r="I805" s="3" t="s">
        <v>35</v>
      </c>
      <c r="J805" s="3" t="s">
        <v>36</v>
      </c>
      <c r="K805" s="3" t="s">
        <v>139</v>
      </c>
      <c r="L805" s="3" t="s">
        <v>150</v>
      </c>
      <c r="R805" s="3" t="s">
        <v>353</v>
      </c>
      <c r="T805" s="3" t="s">
        <v>45</v>
      </c>
      <c r="U805" s="3"/>
      <c r="V805" s="3"/>
      <c r="W805" s="3"/>
    </row>
    <row r="806" spans="1:23" ht="13" x14ac:dyDescent="0.15">
      <c r="A806" s="2">
        <v>45792.599588935183</v>
      </c>
      <c r="B806" s="3" t="s">
        <v>149</v>
      </c>
      <c r="D806" s="3">
        <v>2</v>
      </c>
      <c r="G806" s="3">
        <v>18</v>
      </c>
      <c r="H806" s="3">
        <v>4</v>
      </c>
      <c r="I806" s="3" t="s">
        <v>35</v>
      </c>
      <c r="J806" s="3" t="s">
        <v>70</v>
      </c>
      <c r="K806" s="3" t="s">
        <v>152</v>
      </c>
      <c r="L806" s="3" t="s">
        <v>326</v>
      </c>
      <c r="P806" s="3" t="s">
        <v>28</v>
      </c>
      <c r="R806" s="3" t="s">
        <v>354</v>
      </c>
      <c r="T806" s="3" t="s">
        <v>45</v>
      </c>
      <c r="U806" s="3"/>
      <c r="V806" s="3"/>
      <c r="W806" s="3"/>
    </row>
    <row r="807" spans="1:23" ht="13" x14ac:dyDescent="0.15">
      <c r="A807" s="2">
        <v>45792.600305266205</v>
      </c>
      <c r="B807" s="3" t="s">
        <v>149</v>
      </c>
      <c r="D807" s="3">
        <v>4</v>
      </c>
      <c r="H807" s="3">
        <v>6</v>
      </c>
      <c r="I807" s="3" t="s">
        <v>24</v>
      </c>
      <c r="J807" s="3" t="s">
        <v>70</v>
      </c>
      <c r="K807" s="3" t="s">
        <v>139</v>
      </c>
      <c r="M807" s="3">
        <v>68</v>
      </c>
      <c r="P807" s="3" t="s">
        <v>28</v>
      </c>
      <c r="R807" s="3" t="s">
        <v>234</v>
      </c>
      <c r="T807" s="3" t="s">
        <v>45</v>
      </c>
      <c r="U807" s="3"/>
      <c r="V807" s="3"/>
      <c r="W807" s="3"/>
    </row>
    <row r="808" spans="1:23" ht="13" x14ac:dyDescent="0.15">
      <c r="A808" s="2">
        <v>45792.600727002311</v>
      </c>
      <c r="B808" s="3" t="s">
        <v>149</v>
      </c>
      <c r="I808" s="3" t="s">
        <v>84</v>
      </c>
      <c r="R808" s="3" t="s">
        <v>355</v>
      </c>
      <c r="T808" s="3" t="s">
        <v>45</v>
      </c>
      <c r="U808" s="3"/>
      <c r="V808" s="3"/>
      <c r="W808" s="3"/>
    </row>
    <row r="809" spans="1:23" ht="13" x14ac:dyDescent="0.15">
      <c r="A809" s="2">
        <v>45792.601799872689</v>
      </c>
      <c r="B809" s="3" t="s">
        <v>149</v>
      </c>
      <c r="D809" s="3">
        <v>4</v>
      </c>
      <c r="G809" s="3">
        <v>30</v>
      </c>
      <c r="H809" s="3">
        <v>3</v>
      </c>
      <c r="I809" s="3" t="s">
        <v>102</v>
      </c>
      <c r="J809" s="3" t="s">
        <v>25</v>
      </c>
      <c r="K809" s="3" t="s">
        <v>138</v>
      </c>
      <c r="L809" s="3" t="s">
        <v>356</v>
      </c>
      <c r="P809" s="3" t="s">
        <v>28</v>
      </c>
      <c r="R809" s="3" t="s">
        <v>357</v>
      </c>
      <c r="T809" s="3" t="s">
        <v>45</v>
      </c>
      <c r="U809" s="3"/>
      <c r="V809" s="3"/>
      <c r="W809" s="3"/>
    </row>
    <row r="810" spans="1:23" ht="13" x14ac:dyDescent="0.15">
      <c r="A810" s="2">
        <v>45792.60206892361</v>
      </c>
      <c r="B810" s="3" t="s">
        <v>149</v>
      </c>
      <c r="D810" s="3">
        <v>6</v>
      </c>
      <c r="J810" s="3" t="s">
        <v>70</v>
      </c>
      <c r="K810" s="3" t="s">
        <v>142</v>
      </c>
      <c r="T810" s="3" t="s">
        <v>45</v>
      </c>
      <c r="U810" s="3"/>
      <c r="V810" s="3"/>
      <c r="W810" s="3"/>
    </row>
    <row r="811" spans="1:23" ht="13" x14ac:dyDescent="0.15">
      <c r="A811" s="2">
        <v>45792.603362268521</v>
      </c>
      <c r="B811" s="3" t="s">
        <v>149</v>
      </c>
      <c r="D811" s="3">
        <v>11</v>
      </c>
      <c r="G811" s="3">
        <v>30</v>
      </c>
      <c r="H811" s="3">
        <v>5</v>
      </c>
      <c r="I811" s="3" t="s">
        <v>102</v>
      </c>
      <c r="J811" s="3" t="s">
        <v>70</v>
      </c>
      <c r="K811" s="3" t="s">
        <v>140</v>
      </c>
      <c r="L811" s="3" t="s">
        <v>358</v>
      </c>
      <c r="M811" s="3">
        <v>36</v>
      </c>
      <c r="T811" s="3" t="s">
        <v>45</v>
      </c>
      <c r="U811" s="3"/>
      <c r="V811" s="3"/>
      <c r="W811" s="3"/>
    </row>
    <row r="812" spans="1:23" ht="13" x14ac:dyDescent="0.15">
      <c r="A812" s="2">
        <v>45792.60366537037</v>
      </c>
      <c r="B812" s="3" t="s">
        <v>149</v>
      </c>
      <c r="I812" s="3" t="s">
        <v>102</v>
      </c>
      <c r="J812" s="3" t="s">
        <v>77</v>
      </c>
      <c r="K812" s="3" t="s">
        <v>151</v>
      </c>
      <c r="T812" s="3" t="s">
        <v>45</v>
      </c>
      <c r="U812" s="3"/>
      <c r="V812" s="3"/>
      <c r="W812" s="3"/>
    </row>
    <row r="813" spans="1:23" ht="13" x14ac:dyDescent="0.15">
      <c r="A813" s="2">
        <v>45792.603945821756</v>
      </c>
      <c r="B813" s="3" t="s">
        <v>149</v>
      </c>
      <c r="D813" s="3">
        <v>3</v>
      </c>
      <c r="I813" s="3" t="s">
        <v>102</v>
      </c>
      <c r="J813" s="3" t="s">
        <v>25</v>
      </c>
      <c r="K813" s="3" t="s">
        <v>142</v>
      </c>
      <c r="T813" s="3" t="s">
        <v>45</v>
      </c>
      <c r="U813" s="3"/>
      <c r="V813" s="3"/>
      <c r="W813" s="3"/>
    </row>
    <row r="814" spans="1:23" ht="13" x14ac:dyDescent="0.15">
      <c r="A814" s="2">
        <v>45795.766942476854</v>
      </c>
      <c r="B814" s="3" t="s">
        <v>265</v>
      </c>
      <c r="C814" s="3">
        <v>3447</v>
      </c>
      <c r="N814" s="3">
        <v>674</v>
      </c>
      <c r="O814" s="3">
        <v>48427</v>
      </c>
      <c r="T814" s="3" t="s">
        <v>33</v>
      </c>
      <c r="U814" s="3"/>
      <c r="V814" s="3"/>
      <c r="W814" s="3"/>
    </row>
    <row r="815" spans="1:23" ht="13" x14ac:dyDescent="0.15">
      <c r="A815" s="2">
        <v>45796.616886793985</v>
      </c>
      <c r="B815" s="3" t="s">
        <v>91</v>
      </c>
      <c r="D815" s="3">
        <v>16</v>
      </c>
      <c r="I815" s="3" t="s">
        <v>102</v>
      </c>
      <c r="K815" s="3" t="s">
        <v>101</v>
      </c>
      <c r="T815" s="3" t="s">
        <v>33</v>
      </c>
      <c r="U815" s="3"/>
      <c r="V815" s="3"/>
      <c r="W815" s="3"/>
    </row>
    <row r="816" spans="1:23" ht="13" x14ac:dyDescent="0.15">
      <c r="A816" s="2">
        <v>45796.618133587966</v>
      </c>
      <c r="B816" s="3" t="s">
        <v>91</v>
      </c>
      <c r="D816" s="3">
        <v>8</v>
      </c>
      <c r="G816" s="3">
        <v>16</v>
      </c>
      <c r="I816" s="3" t="s">
        <v>24</v>
      </c>
      <c r="J816" s="3" t="s">
        <v>77</v>
      </c>
      <c r="K816" s="3" t="s">
        <v>97</v>
      </c>
      <c r="M816" s="3">
        <v>28</v>
      </c>
      <c r="P816" s="3" t="s">
        <v>92</v>
      </c>
      <c r="Q816" s="3" t="s">
        <v>106</v>
      </c>
      <c r="R816" s="3" t="s">
        <v>359</v>
      </c>
      <c r="T816" s="3" t="s">
        <v>33</v>
      </c>
      <c r="U816" s="3"/>
      <c r="V816" s="3"/>
      <c r="W816" s="3"/>
    </row>
    <row r="817" spans="1:23" ht="13" x14ac:dyDescent="0.15">
      <c r="A817" s="2">
        <v>45796.618625474541</v>
      </c>
      <c r="B817" s="3" t="s">
        <v>91</v>
      </c>
      <c r="D817" s="3">
        <v>4</v>
      </c>
      <c r="I817" s="3" t="s">
        <v>24</v>
      </c>
      <c r="J817" s="3" t="s">
        <v>77</v>
      </c>
      <c r="K817" s="3" t="s">
        <v>97</v>
      </c>
      <c r="P817" s="3" t="s">
        <v>112</v>
      </c>
      <c r="T817" s="3" t="s">
        <v>33</v>
      </c>
      <c r="U817" s="3"/>
      <c r="V817" s="3"/>
      <c r="W817" s="3"/>
    </row>
    <row r="818" spans="1:23" ht="13" x14ac:dyDescent="0.15">
      <c r="A818" s="2">
        <v>45796.619297245372</v>
      </c>
      <c r="B818" s="3" t="s">
        <v>91</v>
      </c>
      <c r="D818" s="3">
        <v>35</v>
      </c>
      <c r="I818" s="3" t="s">
        <v>35</v>
      </c>
      <c r="J818" s="3" t="s">
        <v>36</v>
      </c>
      <c r="K818" s="3" t="s">
        <v>101</v>
      </c>
      <c r="P818" s="3" t="s">
        <v>114</v>
      </c>
      <c r="T818" s="3" t="s">
        <v>33</v>
      </c>
      <c r="U818" s="3"/>
      <c r="V818" s="3"/>
      <c r="W818" s="3"/>
    </row>
    <row r="819" spans="1:23" ht="13" x14ac:dyDescent="0.15">
      <c r="A819" s="2">
        <v>45796.619802430556</v>
      </c>
      <c r="B819" s="3" t="s">
        <v>91</v>
      </c>
      <c r="D819" s="3">
        <v>1</v>
      </c>
      <c r="I819" s="3" t="s">
        <v>84</v>
      </c>
      <c r="J819" s="3" t="s">
        <v>25</v>
      </c>
      <c r="K819" s="3" t="s">
        <v>97</v>
      </c>
      <c r="T819" s="3" t="s">
        <v>33</v>
      </c>
      <c r="U819" s="3"/>
      <c r="V819" s="3"/>
      <c r="W819" s="3"/>
    </row>
    <row r="820" spans="1:23" ht="13" x14ac:dyDescent="0.15">
      <c r="A820" s="2">
        <v>45796.62009167824</v>
      </c>
      <c r="B820" s="3" t="s">
        <v>91</v>
      </c>
      <c r="D820" s="3">
        <v>9</v>
      </c>
      <c r="I820" s="3" t="s">
        <v>82</v>
      </c>
      <c r="J820" s="3" t="s">
        <v>25</v>
      </c>
      <c r="K820" s="3" t="s">
        <v>164</v>
      </c>
      <c r="T820" s="3" t="s">
        <v>33</v>
      </c>
      <c r="U820" s="3"/>
      <c r="V820" s="3"/>
      <c r="W820" s="3"/>
    </row>
    <row r="821" spans="1:23" ht="13" x14ac:dyDescent="0.15">
      <c r="A821" s="2">
        <v>45796.620416493053</v>
      </c>
      <c r="B821" s="3" t="s">
        <v>91</v>
      </c>
      <c r="D821" s="3">
        <v>8</v>
      </c>
      <c r="I821" s="3" t="s">
        <v>24</v>
      </c>
      <c r="J821" s="3" t="s">
        <v>77</v>
      </c>
      <c r="K821" s="3" t="s">
        <v>101</v>
      </c>
      <c r="T821" s="3" t="s">
        <v>33</v>
      </c>
      <c r="U821" s="3"/>
      <c r="V821" s="3"/>
      <c r="W821" s="3"/>
    </row>
    <row r="822" spans="1:23" ht="13" x14ac:dyDescent="0.15">
      <c r="A822" s="2">
        <v>45796.620714606484</v>
      </c>
      <c r="B822" s="3" t="s">
        <v>91</v>
      </c>
      <c r="D822" s="3">
        <v>8</v>
      </c>
      <c r="I822" s="3" t="s">
        <v>24</v>
      </c>
      <c r="J822" s="3" t="s">
        <v>77</v>
      </c>
      <c r="K822" s="3" t="s">
        <v>97</v>
      </c>
      <c r="T822" s="3" t="s">
        <v>33</v>
      </c>
      <c r="U822" s="3"/>
      <c r="V822" s="3"/>
      <c r="W822" s="3"/>
    </row>
    <row r="823" spans="1:23" ht="13" x14ac:dyDescent="0.15">
      <c r="A823" s="2">
        <v>45796.621087962965</v>
      </c>
      <c r="B823" s="3" t="s">
        <v>91</v>
      </c>
      <c r="D823" s="3">
        <v>52</v>
      </c>
      <c r="I823" s="3" t="s">
        <v>35</v>
      </c>
      <c r="J823" s="3" t="s">
        <v>25</v>
      </c>
      <c r="K823" s="3" t="s">
        <v>97</v>
      </c>
      <c r="T823" s="3" t="s">
        <v>33</v>
      </c>
      <c r="U823" s="3"/>
      <c r="V823" s="3"/>
      <c r="W823" s="3"/>
    </row>
    <row r="824" spans="1:23" ht="13" x14ac:dyDescent="0.15">
      <c r="A824" s="2">
        <v>45796.6215046875</v>
      </c>
      <c r="B824" s="3" t="s">
        <v>91</v>
      </c>
      <c r="I824" s="3" t="s">
        <v>35</v>
      </c>
      <c r="J824" s="3" t="s">
        <v>70</v>
      </c>
      <c r="K824" s="3" t="s">
        <v>97</v>
      </c>
      <c r="T824" s="3" t="s">
        <v>33</v>
      </c>
      <c r="U824" s="3"/>
      <c r="V824" s="3"/>
      <c r="W824" s="3"/>
    </row>
    <row r="825" spans="1:23" ht="13" x14ac:dyDescent="0.15">
      <c r="A825" s="2">
        <v>45796.62227467593</v>
      </c>
      <c r="B825" s="3" t="s">
        <v>91</v>
      </c>
      <c r="D825" s="3">
        <v>1</v>
      </c>
      <c r="I825" s="3" t="s">
        <v>82</v>
      </c>
      <c r="J825" s="3" t="s">
        <v>65</v>
      </c>
      <c r="K825" s="3" t="s">
        <v>159</v>
      </c>
      <c r="T825" s="3" t="s">
        <v>33</v>
      </c>
      <c r="U825" s="3"/>
      <c r="V825" s="3"/>
      <c r="W825" s="3"/>
    </row>
    <row r="826" spans="1:23" ht="13" x14ac:dyDescent="0.15">
      <c r="A826" s="2">
        <v>45805.627046030088</v>
      </c>
      <c r="B826" s="3" t="s">
        <v>118</v>
      </c>
      <c r="D826" s="3">
        <v>110</v>
      </c>
      <c r="H826" s="3">
        <v>20</v>
      </c>
      <c r="M826" s="3">
        <v>400</v>
      </c>
      <c r="T826" s="3" t="s">
        <v>60</v>
      </c>
      <c r="U826" s="3"/>
      <c r="V826" s="3"/>
      <c r="W826" s="3"/>
    </row>
    <row r="827" spans="1:23" ht="13" x14ac:dyDescent="0.15">
      <c r="A827" s="2">
        <v>45528.597430555557</v>
      </c>
      <c r="B827" s="3" t="s">
        <v>23</v>
      </c>
      <c r="C827" s="3">
        <v>1</v>
      </c>
      <c r="D827" s="3">
        <v>1</v>
      </c>
      <c r="E827" s="3">
        <v>1</v>
      </c>
      <c r="F827" s="3">
        <v>1</v>
      </c>
      <c r="G827" s="3">
        <v>1</v>
      </c>
      <c r="H827" s="3">
        <v>1</v>
      </c>
      <c r="I827" s="3" t="s">
        <v>24</v>
      </c>
      <c r="J827" s="3" t="s">
        <v>25</v>
      </c>
      <c r="K827" s="3" t="s">
        <v>26</v>
      </c>
      <c r="L827" s="3" t="s">
        <v>27</v>
      </c>
      <c r="M827" s="3">
        <v>1</v>
      </c>
      <c r="N827" s="3">
        <v>1</v>
      </c>
      <c r="O827" s="3">
        <v>1</v>
      </c>
      <c r="P827" s="3" t="s">
        <v>28</v>
      </c>
      <c r="Q827" s="3" t="s">
        <v>29</v>
      </c>
      <c r="R827" s="3" t="s">
        <v>30</v>
      </c>
      <c r="S827" s="3">
        <v>1</v>
      </c>
      <c r="T827" s="3" t="s">
        <v>55</v>
      </c>
      <c r="U827" s="3"/>
      <c r="V827" s="3"/>
      <c r="W827" s="3"/>
    </row>
    <row r="828" spans="1:23" ht="13" x14ac:dyDescent="0.15">
      <c r="A828" s="2">
        <v>45529.597430555557</v>
      </c>
      <c r="B828" s="3" t="s">
        <v>23</v>
      </c>
      <c r="C828" s="3">
        <v>1</v>
      </c>
      <c r="D828" s="3">
        <v>1</v>
      </c>
      <c r="E828" s="3">
        <v>1</v>
      </c>
      <c r="F828" s="3">
        <v>1</v>
      </c>
      <c r="G828" s="3">
        <v>1</v>
      </c>
      <c r="H828" s="3">
        <v>1</v>
      </c>
      <c r="I828" s="3" t="s">
        <v>24</v>
      </c>
      <c r="J828" s="3" t="s">
        <v>25</v>
      </c>
      <c r="K828" s="3" t="s">
        <v>26</v>
      </c>
      <c r="L828" s="3" t="s">
        <v>27</v>
      </c>
      <c r="M828" s="3">
        <v>1</v>
      </c>
      <c r="N828" s="3">
        <v>1</v>
      </c>
      <c r="O828" s="3">
        <v>1</v>
      </c>
      <c r="P828" s="3" t="s">
        <v>28</v>
      </c>
      <c r="Q828" s="3" t="s">
        <v>29</v>
      </c>
      <c r="R828" s="3" t="s">
        <v>30</v>
      </c>
      <c r="S828" s="3">
        <v>1</v>
      </c>
      <c r="T828" s="3" t="s">
        <v>56</v>
      </c>
      <c r="U828" s="3"/>
      <c r="V828" s="3"/>
      <c r="W828" s="3"/>
    </row>
    <row r="829" spans="1:23" ht="13" x14ac:dyDescent="0.15">
      <c r="A829" s="2">
        <v>45530.597430555557</v>
      </c>
      <c r="B829" s="3" t="s">
        <v>23</v>
      </c>
      <c r="C829" s="3">
        <v>1</v>
      </c>
      <c r="D829" s="3">
        <v>1</v>
      </c>
      <c r="E829" s="3">
        <v>1</v>
      </c>
      <c r="F829" s="3">
        <v>1</v>
      </c>
      <c r="G829" s="3">
        <v>1</v>
      </c>
      <c r="H829" s="3">
        <v>1</v>
      </c>
      <c r="I829" s="3" t="s">
        <v>24</v>
      </c>
      <c r="J829" s="3" t="s">
        <v>25</v>
      </c>
      <c r="K829" s="3" t="s">
        <v>26</v>
      </c>
      <c r="L829" s="3" t="s">
        <v>27</v>
      </c>
      <c r="M829" s="3">
        <v>1</v>
      </c>
      <c r="N829" s="3">
        <v>1</v>
      </c>
      <c r="O829" s="3">
        <v>1</v>
      </c>
      <c r="P829" s="3" t="s">
        <v>28</v>
      </c>
      <c r="Q829" s="3" t="s">
        <v>29</v>
      </c>
      <c r="R829" s="3" t="s">
        <v>30</v>
      </c>
      <c r="S829" s="3">
        <v>1</v>
      </c>
      <c r="T829" s="3" t="s">
        <v>58</v>
      </c>
      <c r="U829" s="3"/>
      <c r="V829" s="3"/>
      <c r="W829" s="3"/>
    </row>
    <row r="830" spans="1:23" ht="13" x14ac:dyDescent="0.15">
      <c r="A830" s="2">
        <v>45531.597430555557</v>
      </c>
      <c r="B830" s="3" t="s">
        <v>23</v>
      </c>
      <c r="C830" s="3">
        <v>1</v>
      </c>
      <c r="D830" s="3">
        <v>1</v>
      </c>
      <c r="E830" s="3">
        <v>1</v>
      </c>
      <c r="F830" s="3">
        <v>1</v>
      </c>
      <c r="G830" s="3">
        <v>1</v>
      </c>
      <c r="H830" s="3">
        <v>1</v>
      </c>
      <c r="I830" s="3" t="s">
        <v>24</v>
      </c>
      <c r="J830" s="3" t="s">
        <v>25</v>
      </c>
      <c r="K830" s="3" t="s">
        <v>26</v>
      </c>
      <c r="L830" s="3" t="s">
        <v>27</v>
      </c>
      <c r="M830" s="3">
        <v>1</v>
      </c>
      <c r="N830" s="3">
        <v>1</v>
      </c>
      <c r="O830" s="3">
        <v>1</v>
      </c>
      <c r="P830" s="3" t="s">
        <v>28</v>
      </c>
      <c r="Q830" s="3" t="s">
        <v>29</v>
      </c>
      <c r="R830" s="3" t="s">
        <v>30</v>
      </c>
      <c r="S830" s="3">
        <v>1</v>
      </c>
      <c r="T830" s="3" t="s">
        <v>57</v>
      </c>
      <c r="U830" s="3"/>
      <c r="V830" s="3"/>
      <c r="W830" s="3"/>
    </row>
    <row r="831" spans="1:23" ht="13" x14ac:dyDescent="0.15">
      <c r="A831" s="2">
        <v>45532.597430555557</v>
      </c>
      <c r="B831" s="3" t="s">
        <v>23</v>
      </c>
      <c r="C831" s="3">
        <v>1</v>
      </c>
      <c r="D831" s="3">
        <v>1</v>
      </c>
      <c r="E831" s="3">
        <v>1</v>
      </c>
      <c r="F831" s="3">
        <v>1</v>
      </c>
      <c r="G831" s="3">
        <v>1</v>
      </c>
      <c r="H831" s="3">
        <v>1</v>
      </c>
      <c r="I831" s="3" t="s">
        <v>24</v>
      </c>
      <c r="J831" s="3" t="s">
        <v>25</v>
      </c>
      <c r="K831" s="3" t="s">
        <v>26</v>
      </c>
      <c r="L831" s="3" t="s">
        <v>27</v>
      </c>
      <c r="M831" s="3">
        <v>1</v>
      </c>
      <c r="N831" s="3">
        <v>1</v>
      </c>
      <c r="O831" s="3">
        <v>1</v>
      </c>
      <c r="P831" s="3" t="s">
        <v>28</v>
      </c>
      <c r="Q831" s="3" t="s">
        <v>29</v>
      </c>
      <c r="R831" s="3" t="s">
        <v>30</v>
      </c>
      <c r="S831" s="3">
        <v>1</v>
      </c>
      <c r="T831" s="3" t="s">
        <v>59</v>
      </c>
      <c r="U831" s="3"/>
      <c r="V831" s="3"/>
      <c r="W831" s="3"/>
    </row>
    <row r="832" spans="1:23" ht="13" x14ac:dyDescent="0.15">
      <c r="A832" s="2">
        <v>45533.597430555557</v>
      </c>
      <c r="B832" s="3" t="s">
        <v>23</v>
      </c>
      <c r="C832" s="3">
        <v>1</v>
      </c>
      <c r="D832" s="3">
        <v>1</v>
      </c>
      <c r="E832" s="3">
        <v>1</v>
      </c>
      <c r="F832" s="3">
        <v>1</v>
      </c>
      <c r="G832" s="3">
        <v>1</v>
      </c>
      <c r="H832" s="3">
        <v>1</v>
      </c>
      <c r="I832" s="3" t="s">
        <v>24</v>
      </c>
      <c r="J832" s="3" t="s">
        <v>25</v>
      </c>
      <c r="K832" s="3" t="s">
        <v>26</v>
      </c>
      <c r="L832" s="3" t="s">
        <v>27</v>
      </c>
      <c r="M832" s="3">
        <v>1</v>
      </c>
      <c r="N832" s="3">
        <v>1</v>
      </c>
      <c r="O832" s="3">
        <v>1</v>
      </c>
      <c r="P832" s="3" t="s">
        <v>28</v>
      </c>
      <c r="Q832" s="3" t="s">
        <v>29</v>
      </c>
      <c r="R832" s="3" t="s">
        <v>30</v>
      </c>
      <c r="S832" s="3">
        <v>1</v>
      </c>
      <c r="T832" s="3" t="s">
        <v>60</v>
      </c>
      <c r="U832" s="3"/>
      <c r="V832" s="3"/>
      <c r="W832" s="3"/>
    </row>
    <row r="833" spans="1:39" ht="13" x14ac:dyDescent="0.15">
      <c r="A833" s="2">
        <v>45534.597430555557</v>
      </c>
      <c r="B833" s="3" t="s">
        <v>23</v>
      </c>
      <c r="C833" s="3">
        <v>1</v>
      </c>
      <c r="D833" s="3">
        <v>1</v>
      </c>
      <c r="E833" s="3">
        <v>1</v>
      </c>
      <c r="F833" s="3">
        <v>1</v>
      </c>
      <c r="G833" s="3">
        <v>1</v>
      </c>
      <c r="H833" s="3">
        <v>1</v>
      </c>
      <c r="I833" s="3" t="s">
        <v>24</v>
      </c>
      <c r="J833" s="3" t="s">
        <v>25</v>
      </c>
      <c r="K833" s="3" t="s">
        <v>26</v>
      </c>
      <c r="L833" s="3" t="s">
        <v>27</v>
      </c>
      <c r="M833" s="3">
        <v>1</v>
      </c>
      <c r="N833" s="3">
        <v>1</v>
      </c>
      <c r="O833" s="3">
        <v>1</v>
      </c>
      <c r="P833" s="3" t="s">
        <v>28</v>
      </c>
      <c r="Q833" s="3" t="s">
        <v>29</v>
      </c>
      <c r="R833" s="3" t="s">
        <v>30</v>
      </c>
      <c r="S833" s="3">
        <v>1</v>
      </c>
      <c r="T833" s="3" t="s">
        <v>62</v>
      </c>
      <c r="U833" s="3"/>
      <c r="V833" s="3"/>
      <c r="W833" s="3"/>
    </row>
    <row r="834" spans="1:39" ht="13" x14ac:dyDescent="0.15">
      <c r="A834" s="2">
        <v>45535.597430555557</v>
      </c>
      <c r="B834" s="3" t="s">
        <v>23</v>
      </c>
      <c r="C834" s="3">
        <v>1</v>
      </c>
      <c r="D834" s="3">
        <v>1</v>
      </c>
      <c r="E834" s="3">
        <v>1</v>
      </c>
      <c r="F834" s="3">
        <v>1</v>
      </c>
      <c r="G834" s="3">
        <v>1</v>
      </c>
      <c r="H834" s="3">
        <v>1</v>
      </c>
      <c r="I834" s="3" t="s">
        <v>24</v>
      </c>
      <c r="J834" s="3" t="s">
        <v>25</v>
      </c>
      <c r="K834" s="3" t="s">
        <v>26</v>
      </c>
      <c r="L834" s="3" t="s">
        <v>27</v>
      </c>
      <c r="M834" s="3">
        <v>1</v>
      </c>
      <c r="N834" s="3">
        <v>1</v>
      </c>
      <c r="O834" s="3">
        <v>1</v>
      </c>
      <c r="P834" s="3" t="s">
        <v>28</v>
      </c>
      <c r="Q834" s="3" t="s">
        <v>29</v>
      </c>
      <c r="R834" s="3" t="s">
        <v>30</v>
      </c>
      <c r="S834" s="3">
        <v>1</v>
      </c>
      <c r="T834" s="3" t="s">
        <v>61</v>
      </c>
      <c r="U834" s="3"/>
      <c r="V834" s="3"/>
      <c r="W834" s="3"/>
    </row>
    <row r="835" spans="1:39" ht="13" x14ac:dyDescent="0.15">
      <c r="A835" s="2">
        <v>45536.597430555557</v>
      </c>
      <c r="B835" s="3" t="s">
        <v>23</v>
      </c>
      <c r="C835" s="3">
        <v>1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 t="s">
        <v>24</v>
      </c>
      <c r="J835" s="3" t="s">
        <v>25</v>
      </c>
      <c r="K835" s="3" t="s">
        <v>26</v>
      </c>
      <c r="L835" s="3" t="s">
        <v>27</v>
      </c>
      <c r="M835" s="3">
        <v>1</v>
      </c>
      <c r="N835" s="3">
        <v>1</v>
      </c>
      <c r="O835" s="3">
        <v>1</v>
      </c>
      <c r="P835" s="3" t="s">
        <v>28</v>
      </c>
      <c r="Q835" s="3" t="s">
        <v>29</v>
      </c>
      <c r="R835" s="3" t="s">
        <v>30</v>
      </c>
      <c r="S835" s="3">
        <v>1</v>
      </c>
      <c r="T835" s="3" t="s">
        <v>360</v>
      </c>
      <c r="U835" s="3"/>
      <c r="V835" s="3"/>
      <c r="W835" s="3"/>
    </row>
    <row r="836" spans="1:39" ht="13" x14ac:dyDescent="0.15">
      <c r="A836" s="2">
        <v>45537.597430555557</v>
      </c>
      <c r="B836" s="3" t="s">
        <v>23</v>
      </c>
      <c r="C836" s="3">
        <v>1</v>
      </c>
      <c r="D836" s="3">
        <v>1</v>
      </c>
      <c r="E836" s="3">
        <v>1</v>
      </c>
      <c r="F836" s="3">
        <v>1</v>
      </c>
      <c r="G836" s="3">
        <v>1</v>
      </c>
      <c r="H836" s="3">
        <v>1</v>
      </c>
      <c r="I836" s="3" t="s">
        <v>24</v>
      </c>
      <c r="J836" s="3" t="s">
        <v>25</v>
      </c>
      <c r="K836" s="3" t="s">
        <v>26</v>
      </c>
      <c r="L836" s="3" t="s">
        <v>27</v>
      </c>
      <c r="M836" s="3">
        <v>1</v>
      </c>
      <c r="N836" s="3">
        <v>1</v>
      </c>
      <c r="O836" s="3">
        <v>1</v>
      </c>
      <c r="P836" s="3" t="s">
        <v>28</v>
      </c>
      <c r="Q836" s="3" t="s">
        <v>29</v>
      </c>
      <c r="R836" s="3" t="s">
        <v>30</v>
      </c>
      <c r="S836" s="3">
        <v>1</v>
      </c>
      <c r="T836" s="3" t="s">
        <v>361</v>
      </c>
      <c r="U836" s="3"/>
      <c r="V836" s="3"/>
      <c r="W836" s="3"/>
    </row>
    <row r="837" spans="1:39" ht="13" x14ac:dyDescent="0.15">
      <c r="A837" s="2">
        <v>45538.597430555557</v>
      </c>
      <c r="B837" s="3" t="s">
        <v>23</v>
      </c>
      <c r="C837" s="3">
        <v>1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 t="s">
        <v>24</v>
      </c>
      <c r="J837" s="3" t="s">
        <v>25</v>
      </c>
      <c r="K837" s="3" t="s">
        <v>26</v>
      </c>
      <c r="L837" s="3" t="s">
        <v>27</v>
      </c>
      <c r="M837" s="3">
        <v>1</v>
      </c>
      <c r="N837" s="3">
        <v>1</v>
      </c>
      <c r="O837" s="3">
        <v>1</v>
      </c>
      <c r="P837" s="3" t="s">
        <v>28</v>
      </c>
      <c r="Q837" s="3" t="s">
        <v>29</v>
      </c>
      <c r="R837" s="3" t="s">
        <v>30</v>
      </c>
      <c r="S837" s="3">
        <v>1</v>
      </c>
      <c r="T837" s="3" t="s">
        <v>39</v>
      </c>
      <c r="U837" s="3"/>
      <c r="V837" s="3"/>
      <c r="W837" s="3"/>
    </row>
    <row r="838" spans="1:39" ht="13" x14ac:dyDescent="0.15">
      <c r="A838" s="2">
        <v>45539.597430555557</v>
      </c>
      <c r="B838" s="3" t="s">
        <v>23</v>
      </c>
      <c r="C838" s="3">
        <v>1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 t="s">
        <v>24</v>
      </c>
      <c r="J838" s="3" t="s">
        <v>25</v>
      </c>
      <c r="K838" s="3" t="s">
        <v>26</v>
      </c>
      <c r="L838" s="3" t="s">
        <v>27</v>
      </c>
      <c r="M838" s="3">
        <v>1</v>
      </c>
      <c r="N838" s="3">
        <v>1</v>
      </c>
      <c r="O838" s="3">
        <v>1</v>
      </c>
      <c r="P838" s="3" t="s">
        <v>28</v>
      </c>
      <c r="Q838" s="3" t="s">
        <v>29</v>
      </c>
      <c r="R838" s="3" t="s">
        <v>30</v>
      </c>
      <c r="S838" s="3">
        <v>1</v>
      </c>
      <c r="T838" s="3" t="s">
        <v>52</v>
      </c>
      <c r="U838" s="3"/>
      <c r="V838" s="3"/>
      <c r="W838" s="3"/>
    </row>
    <row r="839" spans="1:39" ht="13" x14ac:dyDescent="0.15">
      <c r="A839" s="2">
        <v>45540.597430555557</v>
      </c>
      <c r="B839" s="3" t="s">
        <v>23</v>
      </c>
      <c r="C839" s="3">
        <v>1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 t="s">
        <v>24</v>
      </c>
      <c r="J839" s="3" t="s">
        <v>25</v>
      </c>
      <c r="K839" s="3" t="s">
        <v>26</v>
      </c>
      <c r="L839" s="3" t="s">
        <v>27</v>
      </c>
      <c r="M839" s="3">
        <v>1</v>
      </c>
      <c r="N839" s="3">
        <v>1</v>
      </c>
      <c r="O839" s="3">
        <v>1</v>
      </c>
      <c r="P839" s="3" t="s">
        <v>28</v>
      </c>
      <c r="Q839" s="3" t="s">
        <v>29</v>
      </c>
      <c r="R839" s="3" t="s">
        <v>30</v>
      </c>
      <c r="S839" s="3">
        <v>1</v>
      </c>
      <c r="T839" s="3" t="s">
        <v>53</v>
      </c>
      <c r="U839" s="3"/>
      <c r="V839" s="3"/>
      <c r="W839" s="3"/>
    </row>
    <row r="840" spans="1:39" ht="13" x14ac:dyDescent="0.15">
      <c r="A840" s="2">
        <v>45541.597430555557</v>
      </c>
      <c r="B840" s="3" t="s">
        <v>23</v>
      </c>
      <c r="C840" s="3">
        <v>1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 t="s">
        <v>24</v>
      </c>
      <c r="J840" s="3" t="s">
        <v>25</v>
      </c>
      <c r="K840" s="3" t="s">
        <v>26</v>
      </c>
      <c r="L840" s="3" t="s">
        <v>27</v>
      </c>
      <c r="M840" s="3">
        <v>1</v>
      </c>
      <c r="N840" s="3">
        <v>1</v>
      </c>
      <c r="O840" s="3">
        <v>1</v>
      </c>
      <c r="P840" s="3" t="s">
        <v>28</v>
      </c>
      <c r="Q840" s="3" t="s">
        <v>29</v>
      </c>
      <c r="R840" s="3" t="s">
        <v>30</v>
      </c>
      <c r="S840" s="3">
        <v>1</v>
      </c>
      <c r="T840" s="3" t="s">
        <v>54</v>
      </c>
      <c r="U840" s="3"/>
      <c r="V840" s="3"/>
      <c r="W840" s="3"/>
    </row>
    <row r="841" spans="1:39" ht="13" x14ac:dyDescent="0.15">
      <c r="A841" s="2">
        <v>45542.597430555557</v>
      </c>
      <c r="B841" s="3" t="s">
        <v>23</v>
      </c>
      <c r="C841" s="3">
        <v>1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 t="s">
        <v>24</v>
      </c>
      <c r="J841" s="3" t="s">
        <v>25</v>
      </c>
      <c r="K841" s="3" t="s">
        <v>26</v>
      </c>
      <c r="L841" s="3" t="s">
        <v>27</v>
      </c>
      <c r="M841" s="3">
        <v>1</v>
      </c>
      <c r="N841" s="3">
        <v>1</v>
      </c>
      <c r="O841" s="3">
        <v>1</v>
      </c>
      <c r="P841" s="3" t="s">
        <v>28</v>
      </c>
      <c r="Q841" s="3" t="s">
        <v>29</v>
      </c>
      <c r="R841" s="3" t="s">
        <v>30</v>
      </c>
      <c r="S841" s="3">
        <v>1</v>
      </c>
      <c r="T841" s="3" t="s">
        <v>50</v>
      </c>
      <c r="U841" s="3"/>
      <c r="V841" s="3"/>
      <c r="W841" s="3"/>
    </row>
    <row r="842" spans="1:39" ht="13" x14ac:dyDescent="0.15">
      <c r="A842" s="2">
        <v>45543.597430555557</v>
      </c>
      <c r="B842" s="3" t="s">
        <v>23</v>
      </c>
      <c r="C842" s="3">
        <v>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 t="s">
        <v>24</v>
      </c>
      <c r="J842" s="3" t="s">
        <v>25</v>
      </c>
      <c r="K842" s="3" t="s">
        <v>26</v>
      </c>
      <c r="L842" s="3" t="s">
        <v>27</v>
      </c>
      <c r="M842" s="3">
        <v>1</v>
      </c>
      <c r="N842" s="3">
        <v>1</v>
      </c>
      <c r="O842" s="3">
        <v>1</v>
      </c>
      <c r="P842" s="3" t="s">
        <v>28</v>
      </c>
      <c r="Q842" s="3" t="s">
        <v>29</v>
      </c>
      <c r="R842" s="3" t="s">
        <v>30</v>
      </c>
      <c r="S842" s="3">
        <v>1</v>
      </c>
      <c r="T842" s="3" t="s">
        <v>33</v>
      </c>
      <c r="U842" s="3"/>
      <c r="V842" s="3"/>
      <c r="W842" s="3"/>
    </row>
    <row r="843" spans="1:39" ht="13" x14ac:dyDescent="0.15">
      <c r="A843" s="2">
        <v>45544.597430555557</v>
      </c>
      <c r="B843" s="3" t="s">
        <v>23</v>
      </c>
      <c r="C843" s="3">
        <v>1</v>
      </c>
      <c r="D843" s="3">
        <v>1</v>
      </c>
      <c r="E843" s="3">
        <v>1</v>
      </c>
      <c r="F843" s="3">
        <v>1</v>
      </c>
      <c r="G843" s="3">
        <v>1</v>
      </c>
      <c r="H843" s="3">
        <v>1</v>
      </c>
      <c r="I843" s="3" t="s">
        <v>24</v>
      </c>
      <c r="J843" s="3" t="s">
        <v>25</v>
      </c>
      <c r="K843" s="3" t="s">
        <v>26</v>
      </c>
      <c r="L843" s="3" t="s">
        <v>27</v>
      </c>
      <c r="M843" s="3">
        <v>1</v>
      </c>
      <c r="N843" s="3">
        <v>1</v>
      </c>
      <c r="O843" s="3">
        <v>1</v>
      </c>
      <c r="P843" s="3" t="s">
        <v>28</v>
      </c>
      <c r="Q843" s="3" t="s">
        <v>29</v>
      </c>
      <c r="R843" s="3" t="s">
        <v>30</v>
      </c>
      <c r="S843" s="3">
        <v>1</v>
      </c>
      <c r="T843" s="3" t="s">
        <v>67</v>
      </c>
      <c r="U843" s="3"/>
      <c r="V843" s="3"/>
      <c r="W843" s="3"/>
    </row>
    <row r="844" spans="1:39" ht="13" x14ac:dyDescent="0.15">
      <c r="A844" s="2">
        <v>45545.597430555557</v>
      </c>
      <c r="B844" s="3" t="s">
        <v>23</v>
      </c>
      <c r="C844" s="3">
        <v>1</v>
      </c>
      <c r="D844" s="3">
        <v>1</v>
      </c>
      <c r="E844" s="3">
        <v>1</v>
      </c>
      <c r="F844" s="3">
        <v>1</v>
      </c>
      <c r="G844" s="3">
        <v>1</v>
      </c>
      <c r="H844" s="3">
        <v>1</v>
      </c>
      <c r="I844" s="3" t="s">
        <v>24</v>
      </c>
      <c r="J844" s="3" t="s">
        <v>25</v>
      </c>
      <c r="K844" s="3" t="s">
        <v>26</v>
      </c>
      <c r="L844" s="3" t="s">
        <v>27</v>
      </c>
      <c r="M844" s="3">
        <v>1</v>
      </c>
      <c r="N844" s="3">
        <v>1</v>
      </c>
      <c r="O844" s="3">
        <v>1</v>
      </c>
      <c r="P844" s="3" t="s">
        <v>28</v>
      </c>
      <c r="Q844" s="3" t="s">
        <v>29</v>
      </c>
      <c r="R844" s="3" t="s">
        <v>30</v>
      </c>
      <c r="S844" s="3">
        <v>1</v>
      </c>
      <c r="T844" s="3" t="s">
        <v>360</v>
      </c>
      <c r="U844" s="3"/>
      <c r="V844" s="3"/>
      <c r="W844" s="3"/>
    </row>
    <row r="845" spans="1:39" ht="13" x14ac:dyDescent="0.15">
      <c r="A845" s="2">
        <v>45546.597430555557</v>
      </c>
      <c r="B845" s="3" t="s">
        <v>23</v>
      </c>
      <c r="C845" s="3">
        <v>1</v>
      </c>
      <c r="D845" s="3">
        <v>1</v>
      </c>
      <c r="E845" s="3">
        <v>1</v>
      </c>
      <c r="F845" s="3">
        <v>1</v>
      </c>
      <c r="G845" s="3">
        <v>1</v>
      </c>
      <c r="H845" s="3">
        <v>1</v>
      </c>
      <c r="I845" s="3" t="s">
        <v>24</v>
      </c>
      <c r="J845" s="3" t="s">
        <v>25</v>
      </c>
      <c r="K845" s="3" t="s">
        <v>26</v>
      </c>
      <c r="L845" s="3" t="s">
        <v>27</v>
      </c>
      <c r="M845" s="3">
        <v>1</v>
      </c>
      <c r="N845" s="3">
        <v>1</v>
      </c>
      <c r="O845" s="3">
        <v>1</v>
      </c>
      <c r="P845" s="3" t="s">
        <v>28</v>
      </c>
      <c r="Q845" s="3" t="s">
        <v>29</v>
      </c>
      <c r="R845" s="3" t="s">
        <v>30</v>
      </c>
      <c r="S845" s="3">
        <v>1</v>
      </c>
      <c r="T845" s="3" t="s">
        <v>64</v>
      </c>
      <c r="U845" s="3"/>
      <c r="V845" s="3"/>
      <c r="W845" s="3"/>
    </row>
    <row r="846" spans="1:39" ht="13" x14ac:dyDescent="0.15">
      <c r="A846" s="10"/>
      <c r="B846" s="11"/>
      <c r="C846" s="12">
        <v>1</v>
      </c>
      <c r="D846" s="12">
        <v>1</v>
      </c>
      <c r="E846" s="12">
        <v>1</v>
      </c>
      <c r="F846" s="12">
        <v>1</v>
      </c>
      <c r="G846" s="12">
        <v>1</v>
      </c>
      <c r="H846" s="12">
        <v>1</v>
      </c>
      <c r="I846" s="3" t="s">
        <v>24</v>
      </c>
      <c r="J846" s="3" t="s">
        <v>25</v>
      </c>
      <c r="K846" s="3" t="s">
        <v>26</v>
      </c>
      <c r="L846" s="11" t="s">
        <v>27</v>
      </c>
      <c r="M846" s="12">
        <v>1</v>
      </c>
      <c r="N846" s="12">
        <v>1</v>
      </c>
      <c r="O846" s="12">
        <v>1</v>
      </c>
      <c r="P846" s="3" t="s">
        <v>28</v>
      </c>
      <c r="Q846" s="11" t="s">
        <v>29</v>
      </c>
      <c r="R846" s="11" t="s">
        <v>30</v>
      </c>
      <c r="S846" s="12">
        <v>1</v>
      </c>
      <c r="T846" s="11" t="s">
        <v>63</v>
      </c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8"/>
  <sheetViews>
    <sheetView workbookViewId="0"/>
  </sheetViews>
  <sheetFormatPr baseColWidth="10" defaultColWidth="12.6640625" defaultRowHeight="15.75" customHeight="1" x14ac:dyDescent="0.15"/>
  <cols>
    <col min="1" max="36" width="18.83203125" customWidth="1"/>
  </cols>
  <sheetData>
    <row r="1" spans="1:29" ht="15.75" customHeight="1" x14ac:dyDescent="0.15">
      <c r="A1" s="3" t="str">
        <f ca="1">IFERROR(__xludf.DUMMYFUNCTION("QUERY('District Data'!A:AC, ""SELECT * WHERE T = 'Adams'"", 1)"),"Timestamp")</f>
        <v>Timestamp</v>
      </c>
      <c r="B1" s="3" t="str">
        <f ca="1">IFERROR(__xludf.DUMMYFUNCTION("""COMPUTED_VALUE"""),"Email Address")</f>
        <v>Email Address</v>
      </c>
      <c r="C1" s="3" t="str">
        <f ca="1">IFERROR(__xludf.DUMMYFUNCTION("""COMPUTED_VALUE"""),"How many books were checked out? (will be provided monthly by ISC)")</f>
        <v>How many books were checked out? (will be provided monthly by ISC)</v>
      </c>
      <c r="D1" s="3" t="str">
        <f ca="1">IFERROR(__xludf.DUMMYFUNCTION("""COMPUTED_VALUE"""),"How many classes did you collaborate with? ")</f>
        <v xml:space="preserve">How many classes did you collaborate with? </v>
      </c>
      <c r="E1" s="3" t="str">
        <f ca="1">IFERROR(__xludf.DUMMYFUNCTION("""COMPUTED_VALUE"""),"Number of classes that visited the library?")</f>
        <v>Number of classes that visited the library?</v>
      </c>
      <c r="F1" s="3" t="str">
        <f ca="1">IFERROR(__xludf.DUMMYFUNCTION("""COMPUTED_VALUE"""),"Grant dollars received")</f>
        <v>Grant dollars received</v>
      </c>
      <c r="G1" s="3" t="str">
        <f ca="1">IFERROR(__xludf.DUMMYFUNCTION("""COMPUTED_VALUE"""),"Number of Makerspace open hours?")</f>
        <v>Number of Makerspace open hours?</v>
      </c>
      <c r="H1" s="3" t="str">
        <f ca="1">IFERROR(__xludf.DUMMYFUNCTION("""COMPUTED_VALUE"""),"Tech assistance appointments (if you spent time on it, count it)")</f>
        <v>Tech assistance appointments (if you spent time on it, count it)</v>
      </c>
      <c r="I1" s="3" t="str">
        <f ca="1">IFERROR(__xludf.DUMMYFUNCTION("""COMPUTED_VALUE"""),"Which Shared Foundation was your target standard?")</f>
        <v>Which Shared Foundation was your target standard?</v>
      </c>
      <c r="J1" s="3" t="str">
        <f ca="1">IFERROR(__xludf.DUMMYFUNCTION("""COMPUTED_VALUE"""),"Which Content Area did you collaborate with for this lesson?")</f>
        <v>Which Content Area did you collaborate with for this lesson?</v>
      </c>
      <c r="K1" s="3" t="str">
        <f ca="1">IFERROR(__xludf.DUMMYFUNCTION("""COMPUTED_VALUE"""),"Which grade level did you collaborate with for this lesson?")</f>
        <v>Which grade level did you collaborate with for this lesson?</v>
      </c>
      <c r="L1" s="3" t="str">
        <f ca="1">IFERROR(__xludf.DUMMYFUNCTION("""COMPUTED_VALUE"""),"Most popular makerspace tool?")</f>
        <v>Most popular makerspace tool?</v>
      </c>
      <c r="M1" s="3" t="str">
        <f ca="1">IFERROR(__xludf.DUMMYFUNCTION("""COMPUTED_VALUE"""),"Number of new books added?")</f>
        <v>Number of new books added?</v>
      </c>
      <c r="N1" s="3" t="str">
        <f ca="1">IFERROR(__xludf.DUMMYFUNCTION("""COMPUTED_VALUE"""),"Sora checkouts (will be provided monthly by ISC)")</f>
        <v>Sora checkouts (will be provided monthly by ISC)</v>
      </c>
      <c r="O1" s="3" t="str">
        <f ca="1">IFERROR(__xludf.DUMMYFUNCTION("""COMPUTED_VALUE"""),"Database retrievals (will be provided monthly by ISC)")</f>
        <v>Database retrievals (will be provided monthly by ISC)</v>
      </c>
      <c r="P1" s="3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3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3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3" t="str">
        <f ca="1">IFERROR(__xludf.DUMMYFUNCTION("""COMPUTED_VALUE"""),"PLCs attended (quantity only) Collaboration")</f>
        <v>PLCs attended (quantity only) Collaboration</v>
      </c>
      <c r="T1" s="3" t="str">
        <f ca="1">IFERROR(__xludf.DUMMYFUNCTION("""COMPUTED_VALUE"""),"Library ")</f>
        <v xml:space="preserve">Library </v>
      </c>
      <c r="U1" s="3" t="str">
        <f ca="1">IFERROR(__xludf.DUMMYFUNCTION("""COMPUTED_VALUE"""),"Makerspace appointments")</f>
        <v>Makerspace appointments</v>
      </c>
      <c r="V1" s="3" t="str">
        <f ca="1">IFERROR(__xludf.DUMMYFUNCTION("""COMPUTED_VALUE"""),"Out of contract time spent at meetings")</f>
        <v>Out of contract time spent at meetings</v>
      </c>
      <c r="W1" s="3" t="str">
        <f ca="1">IFERROR(__xludf.DUMMYFUNCTION("""COMPUTED_VALUE"""),"During school hours non-library duty")</f>
        <v>During school hours non-library duty</v>
      </c>
      <c r="X1" s="3" t="str">
        <f ca="1">IFERROR(__xludf.DUMMYFUNCTION("""COMPUTED_VALUE"""),"")</f>
        <v/>
      </c>
      <c r="Y1" s="3" t="str">
        <f ca="1">IFERROR(__xludf.DUMMYFUNCTION("""COMPUTED_VALUE"""),"")</f>
        <v/>
      </c>
      <c r="Z1" s="3" t="str">
        <f ca="1">IFERROR(__xludf.DUMMYFUNCTION("""COMPUTED_VALUE"""),"")</f>
        <v/>
      </c>
      <c r="AA1" s="3" t="str">
        <f ca="1">IFERROR(__xludf.DUMMYFUNCTION("""COMPUTED_VALUE"""),"")</f>
        <v/>
      </c>
      <c r="AB1" s="3" t="str">
        <f ca="1">IFERROR(__xludf.DUMMYFUNCTION("""COMPUTED_VALUE"""),"")</f>
        <v/>
      </c>
      <c r="AC1" s="3" t="str">
        <f ca="1">IFERROR(__xludf.DUMMYFUNCTION("""COMPUTED_VALUE"""),"")</f>
        <v/>
      </c>
    </row>
    <row r="2" spans="1:29" ht="15.75" customHeight="1" x14ac:dyDescent="0.15">
      <c r="A2" s="2">
        <f ca="1">IFERROR(__xludf.DUMMYFUNCTION("""COMPUTED_VALUE"""),45457.3816307638)</f>
        <v>45457.381630763797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IFERROR(__xludf.DUMMYFUNCTION("""COMPUTED_VALUE"""),"Adams")</f>
        <v>Adams</v>
      </c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2">
        <f ca="1">IFERROR(__xludf.DUMMYFUNCTION("""COMPUTED_VALUE"""),45538.4139072453)</f>
        <v>45538.413907245304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IFERROR(__xludf.DUMMYFUNCTION("""COMPUTED_VALUE"""),1420)</f>
        <v>1420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IFERROR(__xludf.DUMMYFUNCTION("""COMPUTED_VALUE"""),5)</f>
        <v>5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IFERROR(__xludf.DUMMYFUNCTION("""COMPUTED_VALUE"""),"Adams")</f>
        <v>Adams</v>
      </c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2">
        <f ca="1">IFERROR(__xludf.DUMMYFUNCTION("""COMPUTED_VALUE"""),45573.4117402083)</f>
        <v>45573.411740208299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IFERROR(__xludf.DUMMYFUNCTION("""COMPUTED_VALUE"""),2364)</f>
        <v>2364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IFERROR(__xludf.DUMMYFUNCTION("""COMPUTED_VALUE"""),0)</f>
        <v>0</v>
      </c>
      <c r="O4" s="3"/>
      <c r="P4" s="3"/>
      <c r="Q4" s="3"/>
      <c r="R4" s="3"/>
      <c r="S4" s="3"/>
      <c r="T4" s="3" t="str">
        <f ca="1">IFERROR(__xludf.DUMMYFUNCTION("""COMPUTED_VALUE"""),"Adams")</f>
        <v>Adams</v>
      </c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2">
        <f ca="1">IFERROR(__xludf.DUMMYFUNCTION("""COMPUTED_VALUE"""),45644.5270518865)</f>
        <v>45644.5270518865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IFERROR(__xludf.DUMMYFUNCTION("""COMPUTED_VALUE"""),3263)</f>
        <v>3263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IFERROR(__xludf.DUMMYFUNCTION("""COMPUTED_VALUE"""),481)</f>
        <v>481</v>
      </c>
      <c r="O5" s="3"/>
      <c r="P5" s="3"/>
      <c r="Q5" s="3"/>
      <c r="R5" s="3"/>
      <c r="S5" s="3"/>
      <c r="T5" s="3" t="str">
        <f ca="1">IFERROR(__xludf.DUMMYFUNCTION("""COMPUTED_VALUE"""),"Adams")</f>
        <v>Adams</v>
      </c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2">
        <f ca="1">IFERROR(__xludf.DUMMYFUNCTION("""COMPUTED_VALUE"""),45664.3544683912)</f>
        <v>45664.354468391197</v>
      </c>
      <c r="B6" s="3" t="str">
        <f ca="1">IFERROR(__xludf.DUMMYFUNCTION("""COMPUTED_VALUE"""),"bmueller@normanps.org")</f>
        <v>bmueller@normanps.org</v>
      </c>
      <c r="C6" s="3"/>
      <c r="D6" s="3">
        <f ca="1">IFERROR(__xludf.DUMMYFUNCTION("""COMPUTED_VALUE"""),20)</f>
        <v>20</v>
      </c>
      <c r="E6" s="3"/>
      <c r="F6" s="6">
        <f ca="1">IFERROR(__xludf.DUMMYFUNCTION("""COMPUTED_VALUE"""),0)</f>
        <v>0</v>
      </c>
      <c r="G6" s="3">
        <f ca="1">IFERROR(__xludf.DUMMYFUNCTION("""COMPUTED_VALUE"""),100)</f>
        <v>100</v>
      </c>
      <c r="H6" s="3"/>
      <c r="I6" s="3" t="str">
        <f ca="1">IFERROR(__xludf.DUMMYFUNCTION("""COMPUTED_VALUE"""),"Collaborate")</f>
        <v>Collaborate</v>
      </c>
      <c r="J6" s="3" t="str">
        <f ca="1">IFERROR(__xludf.DUMMYFUNCTION("""COMPUTED_VALUE"""),"Social Studies")</f>
        <v>Social Studies</v>
      </c>
      <c r="K6" s="3" t="str">
        <f ca="1">IFERROR(__xludf.DUMMYFUNCTION("""COMPUTED_VALUE"""),"Third")</f>
        <v>Third</v>
      </c>
      <c r="L6" s="3" t="str">
        <f ca="1">IFERROR(__xludf.DUMMYFUNCTION("""COMPUTED_VALUE"""),"Button Maker")</f>
        <v>Button Maker</v>
      </c>
      <c r="M6" s="3"/>
      <c r="N6" s="3"/>
      <c r="O6" s="3"/>
      <c r="P6" s="3"/>
      <c r="Q6" s="3" t="str">
        <f ca="1">IFERROR(__xludf.DUMMYFUNCTION("""COMPUTED_VALUE"""),"Energy Committee")</f>
        <v>Energy Committee</v>
      </c>
      <c r="R6" s="3" t="str">
        <f ca="1">IFERROR(__xludf.DUMMYFUNCTION("""COMPUTED_VALUE"""),"STEM night")</f>
        <v>STEM night</v>
      </c>
      <c r="S6" s="3">
        <f ca="1">IFERROR(__xludf.DUMMYFUNCTION("""COMPUTED_VALUE"""),8)</f>
        <v>8</v>
      </c>
      <c r="T6" s="3" t="str">
        <f ca="1">IFERROR(__xludf.DUMMYFUNCTION("""COMPUTED_VALUE"""),"Adams")</f>
        <v>Adams</v>
      </c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2">
        <f ca="1">IFERROR(__xludf.DUMMYFUNCTION("""COMPUTED_VALUE"""),45672.3292236111)</f>
        <v>45672.329223611101</v>
      </c>
      <c r="B7" s="3" t="str">
        <f ca="1">IFERROR(__xludf.DUMMYFUNCTION("""COMPUTED_VALUE"""),"sschrank@normanps.org")</f>
        <v>sschrank@normanps.org</v>
      </c>
      <c r="C7" s="3">
        <f ca="1">IFERROR(__xludf.DUMMYFUNCTION("""COMPUTED_VALUE"""),1384)</f>
        <v>1384</v>
      </c>
      <c r="D7" s="3"/>
      <c r="E7" s="3"/>
      <c r="F7" s="6"/>
      <c r="G7" s="3"/>
      <c r="H7" s="3"/>
      <c r="I7" s="3"/>
      <c r="J7" s="3"/>
      <c r="K7" s="3"/>
      <c r="L7" s="3"/>
      <c r="M7" s="3"/>
      <c r="N7" s="3">
        <f ca="1">IFERROR(__xludf.DUMMYFUNCTION("""COMPUTED_VALUE"""),153)</f>
        <v>153</v>
      </c>
      <c r="O7" s="3"/>
      <c r="P7" s="3"/>
      <c r="Q7" s="3"/>
      <c r="R7" s="3"/>
      <c r="S7" s="3"/>
      <c r="T7" s="3" t="str">
        <f ca="1">IFERROR(__xludf.DUMMYFUNCTION("""COMPUTED_VALUE"""),"Adams")</f>
        <v>Adams</v>
      </c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2">
        <f ca="1">IFERROR(__xludf.DUMMYFUNCTION("""COMPUTED_VALUE"""),45693.4795968055)</f>
        <v>45693.479596805497</v>
      </c>
      <c r="B8" s="3" t="str">
        <f ca="1">IFERROR(__xludf.DUMMYFUNCTION("""COMPUTED_VALUE"""),"sschrank@normanps.org")</f>
        <v>sschrank@normanps.org</v>
      </c>
      <c r="C8" s="3">
        <f ca="1">IFERROR(__xludf.DUMMYFUNCTION("""COMPUTED_VALUE"""),1540)</f>
        <v>1540</v>
      </c>
      <c r="D8" s="3"/>
      <c r="E8" s="3"/>
      <c r="F8" s="6"/>
      <c r="G8" s="3"/>
      <c r="H8" s="3"/>
      <c r="I8" s="3"/>
      <c r="J8" s="3"/>
      <c r="K8" s="3"/>
      <c r="L8" s="3"/>
      <c r="M8" s="3"/>
      <c r="N8" s="3">
        <f ca="1">IFERROR(__xludf.DUMMYFUNCTION("""COMPUTED_VALUE"""),190)</f>
        <v>190</v>
      </c>
      <c r="O8" s="3"/>
      <c r="P8" s="3"/>
      <c r="Q8" s="3"/>
      <c r="R8" s="3"/>
      <c r="S8" s="3"/>
      <c r="T8" s="3" t="str">
        <f ca="1">IFERROR(__xludf.DUMMYFUNCTION("""COMPUTED_VALUE"""),"Adams")</f>
        <v>Adams</v>
      </c>
      <c r="U8" s="3"/>
      <c r="V8" s="3"/>
      <c r="W8" s="3"/>
      <c r="X8" s="3"/>
      <c r="Y8" s="3"/>
      <c r="Z8" s="3"/>
      <c r="AA8" s="3"/>
      <c r="AB8" s="3"/>
      <c r="AC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'Cleveland'"",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IFERROR(__xludf.DUMMYFUNCTION("""COMPUTED_VALUE"""),45527.5868402199)</f>
        <v>45527.586840219898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IFERROR(__xludf.DUMMYFUNCTION("""COMPUTED_VALUE"""),"Cleveland")</f>
        <v>Cleveland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IFERROR(__xludf.DUMMYFUNCTION("""COMPUTED_VALUE"""),45538.4141801504)</f>
        <v>45538.414180150401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IFERROR(__xludf.DUMMYFUNCTION("""COMPUTED_VALUE"""),1875)</f>
        <v>1875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IFERROR(__xludf.DUMMYFUNCTION("""COMPUTED_VALUE"""),33)</f>
        <v>33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IFERROR(__xludf.DUMMYFUNCTION("""COMPUTED_VALUE"""),"Cleveland")</f>
        <v>Cleveland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IFERROR(__xludf.DUMMYFUNCTION("""COMPUTED_VALUE"""),45573.4122678703)</f>
        <v>45573.412267870299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IFERROR(__xludf.DUMMYFUNCTION("""COMPUTED_VALUE"""),3205)</f>
        <v>3205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IFERROR(__xludf.DUMMYFUNCTION("""COMPUTED_VALUE"""),377)</f>
        <v>377</v>
      </c>
      <c r="O4" s="3"/>
      <c r="P4" s="3"/>
      <c r="Q4" s="3"/>
      <c r="R4" s="3"/>
      <c r="S4" s="3"/>
      <c r="T4" s="3" t="str">
        <f ca="1">IFERROR(__xludf.DUMMYFUNCTION("""COMPUTED_VALUE"""),"Cleveland")</f>
        <v>Cleveland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IFERROR(__xludf.DUMMYFUNCTION("""COMPUTED_VALUE"""),45628.6667679629)</f>
        <v>45628.666767962903</v>
      </c>
      <c r="B5" s="3" t="str">
        <f ca="1">IFERROR(__xludf.DUMMYFUNCTION("""COMPUTED_VALUE"""),"sringus@normanps.org")</f>
        <v>sringus@normanps.org</v>
      </c>
      <c r="C5" s="3"/>
      <c r="D5" s="3">
        <f ca="1">IFERROR(__xludf.DUMMYFUNCTION("""COMPUTED_VALUE"""),33)</f>
        <v>33</v>
      </c>
      <c r="E5" s="3"/>
      <c r="F5" s="6">
        <f ca="1">IFERROR(__xludf.DUMMYFUNCTION("""COMPUTED_VALUE"""),600)</f>
        <v>600</v>
      </c>
      <c r="G5" s="3">
        <f ca="1">IFERROR(__xludf.DUMMYFUNCTION("""COMPUTED_VALUE"""),12)</f>
        <v>12</v>
      </c>
      <c r="H5" s="3">
        <f ca="1">IFERROR(__xludf.DUMMYFUNCTION("""COMPUTED_VALUE"""),71)</f>
        <v>71</v>
      </c>
      <c r="I5" s="3" t="str">
        <f ca="1">IFERROR(__xludf.DUMMYFUNCTION("""COMPUTED_VALUE"""),"Inquire")</f>
        <v>Inquire</v>
      </c>
      <c r="J5" s="3" t="str">
        <f ca="1">IFERROR(__xludf.DUMMYFUNCTION("""COMPUTED_VALUE"""),"ELA")</f>
        <v>ELA</v>
      </c>
      <c r="K5" s="3" t="str">
        <f ca="1">IFERROR(__xludf.DUMMYFUNCTION("""COMPUTED_VALUE"""),"Kindergarten")</f>
        <v>Kindergarten</v>
      </c>
      <c r="L5" s="3" t="str">
        <f ca="1">IFERROR(__xludf.DUMMYFUNCTION("""COMPUTED_VALUE"""),"Keva planks")</f>
        <v>Keva planks</v>
      </c>
      <c r="M5" s="3">
        <f ca="1">IFERROR(__xludf.DUMMYFUNCTION("""COMPUTED_VALUE"""),103)</f>
        <v>103</v>
      </c>
      <c r="N5" s="3"/>
      <c r="O5" s="3"/>
      <c r="P5" s="3" t="str">
        <f ca="1">IFERROR(__xludf.DUMMYFUNCTION("""COMPUTED_VALUE"""),"Pioneer")</f>
        <v>Pioneer</v>
      </c>
      <c r="Q5" s="3" t="str">
        <f ca="1">IFERROR(__xludf.DUMMYFUNCTION("""COMPUTED_VALUE"""),"1")</f>
        <v>1</v>
      </c>
      <c r="R5" s="3" t="str">
        <f ca="1">IFERROR(__xludf.DUMMYFUNCTION("""COMPUTED_VALUE"""),"0")</f>
        <v>0</v>
      </c>
      <c r="S5" s="3">
        <f ca="1">IFERROR(__xludf.DUMMYFUNCTION("""COMPUTED_VALUE"""),5)</f>
        <v>5</v>
      </c>
      <c r="T5" s="3" t="str">
        <f ca="1">IFERROR(__xludf.DUMMYFUNCTION("""COMPUTED_VALUE"""),"Cleveland")</f>
        <v>Cleveland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IFERROR(__xludf.DUMMYFUNCTION("""COMPUTED_VALUE"""),45644.4590636111)</f>
        <v>45644.459063611102</v>
      </c>
      <c r="B6" s="3" t="str">
        <f ca="1">IFERROR(__xludf.DUMMYFUNCTION("""COMPUTED_VALUE"""),"sringus@normanps.org")</f>
        <v>sringus@normanps.org</v>
      </c>
      <c r="C6" s="3"/>
      <c r="D6" s="3"/>
      <c r="E6" s="3"/>
      <c r="F6" s="6">
        <f ca="1">IFERROR(__xludf.DUMMYFUNCTION("""COMPUTED_VALUE"""),-1)</f>
        <v>-1</v>
      </c>
      <c r="G6" s="3">
        <f ca="1">IFERROR(__xludf.DUMMYFUNCTION("""COMPUTED_VALUE"""),20)</f>
        <v>20</v>
      </c>
      <c r="H6" s="3">
        <f ca="1">IFERROR(__xludf.DUMMYFUNCTION("""COMPUTED_VALUE"""),13)</f>
        <v>13</v>
      </c>
      <c r="I6" s="3"/>
      <c r="J6" s="3"/>
      <c r="K6" s="3"/>
      <c r="L6" s="3" t="str">
        <f ca="1">IFERROR(__xludf.DUMMYFUNCTION("""COMPUTED_VALUE"""),"3D printer")</f>
        <v>3D printer</v>
      </c>
      <c r="M6" s="3">
        <f ca="1">IFERROR(__xludf.DUMMYFUNCTION("""COMPUTED_VALUE"""),2)</f>
        <v>2</v>
      </c>
      <c r="N6" s="3"/>
      <c r="O6" s="3"/>
      <c r="P6" s="3" t="str">
        <f ca="1">IFERROR(__xludf.DUMMYFUNCTION("""COMPUTED_VALUE"""),"Pioneer Library")</f>
        <v>Pioneer Library</v>
      </c>
      <c r="Q6" s="3" t="str">
        <f ca="1">IFERROR(__xludf.DUMMYFUNCTION("""COMPUTED_VALUE"""),"Norman City Library Board")</f>
        <v>Norman City Library Board</v>
      </c>
      <c r="R6" s="3" t="str">
        <f ca="1">IFERROR(__xludf.DUMMYFUNCTION("""COMPUTED_VALUE"""),"STEM activity")</f>
        <v>STEM activity</v>
      </c>
      <c r="S6" s="3"/>
      <c r="T6" s="3" t="str">
        <f ca="1">IFERROR(__xludf.DUMMYFUNCTION("""COMPUTED_VALUE"""),"Cleveland")</f>
        <v>Cleveland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IFERROR(__xludf.DUMMYFUNCTION("""COMPUTED_VALUE"""),45644.4593328935)</f>
        <v>45644.459332893501</v>
      </c>
      <c r="B7" s="3" t="str">
        <f ca="1">IFERROR(__xludf.DUMMYFUNCTION("""COMPUTED_VALUE"""),"sringus@normanps.org")</f>
        <v>sringus@normanps.org</v>
      </c>
      <c r="C7" s="3"/>
      <c r="D7" s="3"/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 t="str">
        <f ca="1">IFERROR(__xludf.DUMMYFUNCTION("""COMPUTED_VALUE"""),"NPS Citizens Advisory")</f>
        <v>NPS Citizens Advisory</v>
      </c>
      <c r="R7" s="3"/>
      <c r="S7" s="3"/>
      <c r="T7" s="3" t="str">
        <f ca="1">IFERROR(__xludf.DUMMYFUNCTION("""COMPUTED_VALUE"""),"Cleveland")</f>
        <v>Cleveland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IFERROR(__xludf.DUMMYFUNCTION("""COMPUTED_VALUE"""),45644.5286029166)</f>
        <v>45644.528602916602</v>
      </c>
      <c r="B8" s="3" t="str">
        <f ca="1">IFERROR(__xludf.DUMMYFUNCTION("""COMPUTED_VALUE"""),"sschrank@normanps.org")</f>
        <v>sschrank@normanps.org</v>
      </c>
      <c r="C8" s="3">
        <f ca="1">IFERROR(__xludf.DUMMYFUNCTION("""COMPUTED_VALUE"""),4043)</f>
        <v>4043</v>
      </c>
      <c r="D8" s="3"/>
      <c r="E8" s="3"/>
      <c r="F8" s="6"/>
      <c r="G8" s="3"/>
      <c r="H8" s="3"/>
      <c r="I8" s="3"/>
      <c r="J8" s="3"/>
      <c r="K8" s="3"/>
      <c r="L8" s="3"/>
      <c r="M8" s="3"/>
      <c r="N8" s="3">
        <f ca="1">IFERROR(__xludf.DUMMYFUNCTION("""COMPUTED_VALUE"""),454)</f>
        <v>454</v>
      </c>
      <c r="O8" s="3"/>
      <c r="P8" s="3"/>
      <c r="Q8" s="3"/>
      <c r="R8" s="3"/>
      <c r="S8" s="3"/>
      <c r="T8" s="3" t="str">
        <f ca="1">IFERROR(__xludf.DUMMYFUNCTION("""COMPUTED_VALUE"""),"Cleveland")</f>
        <v>Cleveland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IFERROR(__xludf.DUMMYFUNCTION("""COMPUTED_VALUE"""),45644.550042118)</f>
        <v>45644.550042117997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IFERROR(__xludf.DUMMYFUNCTION("""COMPUTED_VALUE"""),4043)</f>
        <v>4043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IFERROR(__xludf.DUMMYFUNCTION("""COMPUTED_VALUE"""),454)</f>
        <v>454</v>
      </c>
      <c r="O9" s="3"/>
      <c r="P9" s="3"/>
      <c r="Q9" s="3"/>
      <c r="R9" s="3"/>
      <c r="S9" s="3"/>
      <c r="T9" s="3" t="str">
        <f ca="1">IFERROR(__xludf.DUMMYFUNCTION("""COMPUTED_VALUE"""),"Cleveland")</f>
        <v>Cleveland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IFERROR(__xludf.DUMMYFUNCTION("""COMPUTED_VALUE"""),45667.5681669328)</f>
        <v>45667.568166932797</v>
      </c>
      <c r="B10" s="3" t="str">
        <f ca="1">IFERROR(__xludf.DUMMYFUNCTION("""COMPUTED_VALUE"""),"sringus@normanps.org")</f>
        <v>sringus@normanps.org</v>
      </c>
      <c r="C10" s="3"/>
      <c r="D10" s="3"/>
      <c r="E10" s="3"/>
      <c r="F10" s="6"/>
      <c r="G10" s="3"/>
      <c r="H10" s="3">
        <f ca="1">IFERROR(__xludf.DUMMYFUNCTION("""COMPUTED_VALUE"""),6)</f>
        <v>6</v>
      </c>
      <c r="I10" s="3" t="str">
        <f ca="1">IFERROR(__xludf.DUMMYFUNCTION("""COMPUTED_VALUE"""),"Explore")</f>
        <v>Explore</v>
      </c>
      <c r="J10" s="3"/>
      <c r="K10" s="3"/>
      <c r="L10" s="3" t="str">
        <f ca="1">IFERROR(__xludf.DUMMYFUNCTION("""COMPUTED_VALUE"""),"3D printer")</f>
        <v>3D printer</v>
      </c>
      <c r="M10" s="3">
        <f ca="1">IFERROR(__xludf.DUMMYFUNCTION("""COMPUTED_VALUE"""),7)</f>
        <v>7</v>
      </c>
      <c r="N10" s="3"/>
      <c r="O10" s="3"/>
      <c r="P10" s="3"/>
      <c r="Q10" s="3"/>
      <c r="R10" s="3"/>
      <c r="S10" s="3">
        <f ca="1">IFERROR(__xludf.DUMMYFUNCTION("""COMPUTED_VALUE"""),1)</f>
        <v>1</v>
      </c>
      <c r="T10" s="3" t="str">
        <f ca="1">IFERROR(__xludf.DUMMYFUNCTION("""COMPUTED_VALUE"""),"Cleveland")</f>
        <v>Cleveland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IFERROR(__xludf.DUMMYFUNCTION("""COMPUTED_VALUE"""),45667.6118460069)</f>
        <v>45667.611846006897</v>
      </c>
      <c r="B11" s="3" t="str">
        <f ca="1">IFERROR(__xludf.DUMMYFUNCTION("""COMPUTED_VALUE"""),"sringus@normanps.org")</f>
        <v>sringus@normanps.org</v>
      </c>
      <c r="C11" s="3"/>
      <c r="D11" s="3"/>
      <c r="E11" s="3"/>
      <c r="F11" s="6"/>
      <c r="G11" s="3"/>
      <c r="H11" s="3"/>
      <c r="I11" s="3" t="str">
        <f ca="1">IFERROR(__xludf.DUMMYFUNCTION("""COMPUTED_VALUE"""),"Inquire")</f>
        <v>Inquire</v>
      </c>
      <c r="J11" s="3" t="str">
        <f ca="1">IFERROR(__xludf.DUMMYFUNCTION("""COMPUTED_VALUE"""),"ELA")</f>
        <v>ELA</v>
      </c>
      <c r="K11" s="3" t="str">
        <f ca="1">IFERROR(__xludf.DUMMYFUNCTION("""COMPUTED_VALUE"""),"Kindergarten")</f>
        <v>Kindergarten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IFERROR(__xludf.DUMMYFUNCTION("""COMPUTED_VALUE"""),"Cleveland")</f>
        <v>Cleveland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IFERROR(__xludf.DUMMYFUNCTION("""COMPUTED_VALUE"""),45667.6122383449)</f>
        <v>45667.612238344896</v>
      </c>
      <c r="B12" s="3" t="str">
        <f ca="1">IFERROR(__xludf.DUMMYFUNCTION("""COMPUTED_VALUE"""),"sringus@normanps.org")</f>
        <v>sringus@normanps.org</v>
      </c>
      <c r="C12" s="3"/>
      <c r="D12" s="3"/>
      <c r="E12" s="3"/>
      <c r="F12" s="6"/>
      <c r="G12" s="3"/>
      <c r="H12" s="3"/>
      <c r="I12" s="3" t="str">
        <f ca="1">IFERROR(__xludf.DUMMYFUNCTION("""COMPUTED_VALUE"""),"Inquire")</f>
        <v>Inquire</v>
      </c>
      <c r="J12" s="3" t="str">
        <f ca="1">IFERROR(__xludf.DUMMYFUNCTION("""COMPUTED_VALUE"""),"ELA")</f>
        <v>ELA</v>
      </c>
      <c r="K12" s="3" t="str">
        <f ca="1">IFERROR(__xludf.DUMMYFUNCTION("""COMPUTED_VALUE"""),"Kindergarten")</f>
        <v>Kindergarten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IFERROR(__xludf.DUMMYFUNCTION("""COMPUTED_VALUE"""),"Cleveland")</f>
        <v>Cleveland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IFERROR(__xludf.DUMMYFUNCTION("""COMPUTED_VALUE"""),45667.6125678819)</f>
        <v>45667.612567881901</v>
      </c>
      <c r="B13" s="3" t="str">
        <f ca="1">IFERROR(__xludf.DUMMYFUNCTION("""COMPUTED_VALUE"""),"sringus@normanps.org")</f>
        <v>sringus@normanps.org</v>
      </c>
      <c r="C13" s="3"/>
      <c r="D13" s="3"/>
      <c r="E13" s="3"/>
      <c r="F13" s="6"/>
      <c r="G13" s="3"/>
      <c r="H13" s="3"/>
      <c r="I13" s="3" t="str">
        <f ca="1">IFERROR(__xludf.DUMMYFUNCTION("""COMPUTED_VALUE"""),"Inquire")</f>
        <v>Inquire</v>
      </c>
      <c r="J13" s="3" t="str">
        <f ca="1">IFERROR(__xludf.DUMMYFUNCTION("""COMPUTED_VALUE"""),"Social Studies")</f>
        <v>Social Studies</v>
      </c>
      <c r="K13" s="3" t="str">
        <f ca="1">IFERROR(__xludf.DUMMYFUNCTION("""COMPUTED_VALUE"""),"Prek")</f>
        <v>Prek</v>
      </c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IFERROR(__xludf.DUMMYFUNCTION("""COMPUTED_VALUE"""),"Cleveland")</f>
        <v>Cleveland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IFERROR(__xludf.DUMMYFUNCTION("""COMPUTED_VALUE"""),45667.6133049884)</f>
        <v>45667.613304988401</v>
      </c>
      <c r="B14" s="3" t="str">
        <f ca="1">IFERROR(__xludf.DUMMYFUNCTION("""COMPUTED_VALUE"""),"sringus@normanps.org")</f>
        <v>sringus@normanps.org</v>
      </c>
      <c r="C14" s="3"/>
      <c r="D14" s="3"/>
      <c r="E14" s="3"/>
      <c r="F14" s="6"/>
      <c r="G14" s="3"/>
      <c r="H14" s="3"/>
      <c r="I14" s="3" t="str">
        <f ca="1">IFERROR(__xludf.DUMMYFUNCTION("""COMPUTED_VALUE"""),"Explore")</f>
        <v>Explore</v>
      </c>
      <c r="J14" s="3" t="str">
        <f ca="1">IFERROR(__xludf.DUMMYFUNCTION("""COMPUTED_VALUE"""),"Science")</f>
        <v>Science</v>
      </c>
      <c r="K14" s="3" t="str">
        <f ca="1">IFERROR(__xludf.DUMMYFUNCTION("""COMPUTED_VALUE"""),"Third")</f>
        <v>Third</v>
      </c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IFERROR(__xludf.DUMMYFUNCTION("""COMPUTED_VALUE"""),"Cleveland")</f>
        <v>Cleveland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IFERROR(__xludf.DUMMYFUNCTION("""COMPUTED_VALUE"""),45667.6138585416)</f>
        <v>45667.613858541597</v>
      </c>
      <c r="B15" s="3" t="str">
        <f ca="1">IFERROR(__xludf.DUMMYFUNCTION("""COMPUTED_VALUE"""),"sringus@normanps.org")</f>
        <v>sringus@normanps.org</v>
      </c>
      <c r="C15" s="3"/>
      <c r="D15" s="3"/>
      <c r="E15" s="3"/>
      <c r="F15" s="6"/>
      <c r="G15" s="3"/>
      <c r="H15" s="3"/>
      <c r="I15" s="3" t="str">
        <f ca="1">IFERROR(__xludf.DUMMYFUNCTION("""COMPUTED_VALUE"""),"Explore")</f>
        <v>Explore</v>
      </c>
      <c r="J15" s="3" t="str">
        <f ca="1">IFERROR(__xludf.DUMMYFUNCTION("""COMPUTED_VALUE"""),"Science")</f>
        <v>Science</v>
      </c>
      <c r="K15" s="3" t="str">
        <f ca="1">IFERROR(__xludf.DUMMYFUNCTION("""COMPUTED_VALUE"""),"Third")</f>
        <v>Third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IFERROR(__xludf.DUMMYFUNCTION("""COMPUTED_VALUE"""),"Cleveland")</f>
        <v>Cleveland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IFERROR(__xludf.DUMMYFUNCTION("""COMPUTED_VALUE"""),45667.6142092476)</f>
        <v>45667.6142092476</v>
      </c>
      <c r="B16" s="3" t="str">
        <f ca="1">IFERROR(__xludf.DUMMYFUNCTION("""COMPUTED_VALUE"""),"sringus@normanps.org")</f>
        <v>sringus@normanps.org</v>
      </c>
      <c r="C16" s="3"/>
      <c r="D16" s="3"/>
      <c r="E16" s="3"/>
      <c r="F16" s="6"/>
      <c r="G16" s="3"/>
      <c r="H16" s="3"/>
      <c r="I16" s="3" t="str">
        <f ca="1">IFERROR(__xludf.DUMMYFUNCTION("""COMPUTED_VALUE"""),"Collaborate")</f>
        <v>Collaborate</v>
      </c>
      <c r="J16" s="3" t="str">
        <f ca="1">IFERROR(__xludf.DUMMYFUNCTION("""COMPUTED_VALUE"""),"ELA")</f>
        <v>ELA</v>
      </c>
      <c r="K16" s="3" t="str">
        <f ca="1">IFERROR(__xludf.DUMMYFUNCTION("""COMPUTED_VALUE"""),"Third")</f>
        <v>Third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IFERROR(__xludf.DUMMYFUNCTION("""COMPUTED_VALUE"""),"Cleveland")</f>
        <v>Cleveland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IFERROR(__xludf.DUMMYFUNCTION("""COMPUTED_VALUE"""),45667.6151343749)</f>
        <v>45667.615134374901</v>
      </c>
      <c r="B17" s="3" t="str">
        <f ca="1">IFERROR(__xludf.DUMMYFUNCTION("""COMPUTED_VALUE"""),"sringus@normanps.org")</f>
        <v>sringus@normanps.org</v>
      </c>
      <c r="C17" s="3"/>
      <c r="D17" s="3"/>
      <c r="E17" s="3"/>
      <c r="F17" s="6"/>
      <c r="G17" s="3"/>
      <c r="H17" s="3"/>
      <c r="I17" s="3" t="str">
        <f ca="1">IFERROR(__xludf.DUMMYFUNCTION("""COMPUTED_VALUE"""),"Curate")</f>
        <v>Curate</v>
      </c>
      <c r="J17" s="3" t="str">
        <f ca="1">IFERROR(__xludf.DUMMYFUNCTION("""COMPUTED_VALUE"""),"Social Studies")</f>
        <v>Social Studies</v>
      </c>
      <c r="K17" s="3" t="str">
        <f ca="1">IFERROR(__xludf.DUMMYFUNCTION("""COMPUTED_VALUE"""),"Fourth")</f>
        <v>Fourth</v>
      </c>
      <c r="L17" s="3"/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IFERROR(__xludf.DUMMYFUNCTION("""COMPUTED_VALUE"""),"Cleveland")</f>
        <v>Cleveland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IFERROR(__xludf.DUMMYFUNCTION("""COMPUTED_VALUE"""),45667.6154554976)</f>
        <v>45667.615455497602</v>
      </c>
      <c r="B18" s="3" t="str">
        <f ca="1">IFERROR(__xludf.DUMMYFUNCTION("""COMPUTED_VALUE"""),"sringus@normanps.org")</f>
        <v>sringus@normanps.org</v>
      </c>
      <c r="C18" s="3"/>
      <c r="D18" s="3"/>
      <c r="E18" s="3"/>
      <c r="F18" s="6"/>
      <c r="G18" s="3"/>
      <c r="H18" s="3"/>
      <c r="I18" s="3" t="str">
        <f ca="1">IFERROR(__xludf.DUMMYFUNCTION("""COMPUTED_VALUE"""),"Explore")</f>
        <v>Explore</v>
      </c>
      <c r="J18" s="3" t="str">
        <f ca="1">IFERROR(__xludf.DUMMYFUNCTION("""COMPUTED_VALUE"""),"Science")</f>
        <v>Science</v>
      </c>
      <c r="K18" s="3" t="str">
        <f ca="1">IFERROR(__xludf.DUMMYFUNCTION("""COMPUTED_VALUE"""),"Second")</f>
        <v>Second</v>
      </c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IFERROR(__xludf.DUMMYFUNCTION("""COMPUTED_VALUE"""),"Cleveland")</f>
        <v>Cleveland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IFERROR(__xludf.DUMMYFUNCTION("""COMPUTED_VALUE"""),45667.6159569791)</f>
        <v>45667.615956979098</v>
      </c>
      <c r="B19" s="3" t="str">
        <f ca="1">IFERROR(__xludf.DUMMYFUNCTION("""COMPUTED_VALUE"""),"sringus@normanps.org")</f>
        <v>sringus@normanps.org</v>
      </c>
      <c r="C19" s="3"/>
      <c r="D19" s="3"/>
      <c r="E19" s="3"/>
      <c r="F19" s="6"/>
      <c r="G19" s="3"/>
      <c r="H19" s="3"/>
      <c r="I19" s="3" t="str">
        <f ca="1">IFERROR(__xludf.DUMMYFUNCTION("""COMPUTED_VALUE"""),"Curate")</f>
        <v>Curate</v>
      </c>
      <c r="J19" s="3" t="str">
        <f ca="1">IFERROR(__xludf.DUMMYFUNCTION("""COMPUTED_VALUE"""),"Social Studies")</f>
        <v>Social Studies</v>
      </c>
      <c r="K19" s="3" t="str">
        <f ca="1">IFERROR(__xludf.DUMMYFUNCTION("""COMPUTED_VALUE"""),"Fourth")</f>
        <v>Fourth</v>
      </c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IFERROR(__xludf.DUMMYFUNCTION("""COMPUTED_VALUE"""),"Cleveland")</f>
        <v>Cleveland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IFERROR(__xludf.DUMMYFUNCTION("""COMPUTED_VALUE"""),45667.616839699)</f>
        <v>45667.616839699003</v>
      </c>
      <c r="B20" s="3" t="str">
        <f ca="1">IFERROR(__xludf.DUMMYFUNCTION("""COMPUTED_VALUE"""),"sringus@normanps.org")</f>
        <v>sringus@normanps.org</v>
      </c>
      <c r="C20" s="3"/>
      <c r="D20" s="3"/>
      <c r="E20" s="3"/>
      <c r="F20" s="6"/>
      <c r="G20" s="3"/>
      <c r="H20" s="3"/>
      <c r="I20" s="3" t="str">
        <f ca="1">IFERROR(__xludf.DUMMYFUNCTION("""COMPUTED_VALUE"""),"Curate")</f>
        <v>Curate</v>
      </c>
      <c r="J20" s="3" t="str">
        <f ca="1">IFERROR(__xludf.DUMMYFUNCTION("""COMPUTED_VALUE"""),"Social Studies")</f>
        <v>Social Studies</v>
      </c>
      <c r="K20" s="3" t="str">
        <f ca="1">IFERROR(__xludf.DUMMYFUNCTION("""COMPUTED_VALUE"""),"Fifth")</f>
        <v>Fifth</v>
      </c>
      <c r="L20" s="3"/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IFERROR(__xludf.DUMMYFUNCTION("""COMPUTED_VALUE"""),"Cleveland")</f>
        <v>Cleveland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IFERROR(__xludf.DUMMYFUNCTION("""COMPUTED_VALUE"""),45667.6172481712)</f>
        <v>45667.617248171198</v>
      </c>
      <c r="B21" s="3" t="str">
        <f ca="1">IFERROR(__xludf.DUMMYFUNCTION("""COMPUTED_VALUE"""),"sringus@normanps.org")</f>
        <v>sringus@normanps.org</v>
      </c>
      <c r="C21" s="3"/>
      <c r="D21" s="3"/>
      <c r="E21" s="3"/>
      <c r="F21" s="6"/>
      <c r="G21" s="3"/>
      <c r="H21" s="3"/>
      <c r="I21" s="3" t="str">
        <f ca="1">IFERROR(__xludf.DUMMYFUNCTION("""COMPUTED_VALUE"""),"Explore")</f>
        <v>Explore</v>
      </c>
      <c r="J21" s="3" t="str">
        <f ca="1">IFERROR(__xludf.DUMMYFUNCTION("""COMPUTED_VALUE"""),"ELA")</f>
        <v>ELA</v>
      </c>
      <c r="K21" s="3" t="str">
        <f ca="1">IFERROR(__xludf.DUMMYFUNCTION("""COMPUTED_VALUE"""),"Third")</f>
        <v>Third</v>
      </c>
      <c r="L21" s="3"/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IFERROR(__xludf.DUMMYFUNCTION("""COMPUTED_VALUE"""),"Cleveland")</f>
        <v>Cleveland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IFERROR(__xludf.DUMMYFUNCTION("""COMPUTED_VALUE"""),45667.6175204861)</f>
        <v>45667.617520486099</v>
      </c>
      <c r="B22" s="3" t="str">
        <f ca="1">IFERROR(__xludf.DUMMYFUNCTION("""COMPUTED_VALUE"""),"sringus@normanps.org")</f>
        <v>sringus@normanps.org</v>
      </c>
      <c r="C22" s="3"/>
      <c r="D22" s="3"/>
      <c r="E22" s="3"/>
      <c r="F22" s="6"/>
      <c r="G22" s="3"/>
      <c r="H22" s="3"/>
      <c r="I22" s="3" t="str">
        <f ca="1">IFERROR(__xludf.DUMMYFUNCTION("""COMPUTED_VALUE"""),"Explore")</f>
        <v>Explore</v>
      </c>
      <c r="J22" s="3" t="str">
        <f ca="1">IFERROR(__xludf.DUMMYFUNCTION("""COMPUTED_VALUE"""),"ELA")</f>
        <v>ELA</v>
      </c>
      <c r="K22" s="3" t="str">
        <f ca="1">IFERROR(__xludf.DUMMYFUNCTION("""COMPUTED_VALUE"""),"Kindergarten")</f>
        <v>Kindergarten</v>
      </c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IFERROR(__xludf.DUMMYFUNCTION("""COMPUTED_VALUE"""),"Cleveland")</f>
        <v>Cleveland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IFERROR(__xludf.DUMMYFUNCTION("""COMPUTED_VALUE"""),45667.6178182523)</f>
        <v>45667.6178182523</v>
      </c>
      <c r="B23" s="3" t="str">
        <f ca="1">IFERROR(__xludf.DUMMYFUNCTION("""COMPUTED_VALUE"""),"sringus@normanps.org")</f>
        <v>sringus@normanps.org</v>
      </c>
      <c r="C23" s="3"/>
      <c r="D23" s="3"/>
      <c r="E23" s="3"/>
      <c r="F23" s="6"/>
      <c r="G23" s="3"/>
      <c r="H23" s="3"/>
      <c r="I23" s="3" t="str">
        <f ca="1">IFERROR(__xludf.DUMMYFUNCTION("""COMPUTED_VALUE"""),"Inquire")</f>
        <v>Inquire</v>
      </c>
      <c r="J23" s="3" t="str">
        <f ca="1">IFERROR(__xludf.DUMMYFUNCTION("""COMPUTED_VALUE"""),"Social Studies")</f>
        <v>Social Studies</v>
      </c>
      <c r="K23" s="3" t="str">
        <f ca="1">IFERROR(__xludf.DUMMYFUNCTION("""COMPUTED_VALUE"""),"First")</f>
        <v>First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IFERROR(__xludf.DUMMYFUNCTION("""COMPUTED_VALUE"""),"Cleveland")</f>
        <v>Cleveland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IFERROR(__xludf.DUMMYFUNCTION("""COMPUTED_VALUE"""),45667.6180668634)</f>
        <v>45667.618066863397</v>
      </c>
      <c r="B24" s="3" t="str">
        <f ca="1">IFERROR(__xludf.DUMMYFUNCTION("""COMPUTED_VALUE"""),"sringus@normanps.org")</f>
        <v>sringus@normanps.org</v>
      </c>
      <c r="C24" s="3"/>
      <c r="D24" s="3"/>
      <c r="E24" s="3"/>
      <c r="F24" s="6"/>
      <c r="G24" s="3"/>
      <c r="H24" s="3"/>
      <c r="I24" s="3" t="str">
        <f ca="1">IFERROR(__xludf.DUMMYFUNCTION("""COMPUTED_VALUE"""),"Explore")</f>
        <v>Explore</v>
      </c>
      <c r="J24" s="3" t="str">
        <f ca="1">IFERROR(__xludf.DUMMYFUNCTION("""COMPUTED_VALUE"""),"Social Studies")</f>
        <v>Social Studies</v>
      </c>
      <c r="K24" s="3" t="str">
        <f ca="1">IFERROR(__xludf.DUMMYFUNCTION("""COMPUTED_VALUE"""),"First")</f>
        <v>First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IFERROR(__xludf.DUMMYFUNCTION("""COMPUTED_VALUE"""),"Cleveland")</f>
        <v>Cleveland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IFERROR(__xludf.DUMMYFUNCTION("""COMPUTED_VALUE"""),45667.6183658564)</f>
        <v>45667.618365856397</v>
      </c>
      <c r="B25" s="3" t="str">
        <f ca="1">IFERROR(__xludf.DUMMYFUNCTION("""COMPUTED_VALUE"""),"sringus@normanps.org")</f>
        <v>sringus@normanps.org</v>
      </c>
      <c r="C25" s="3"/>
      <c r="D25" s="3"/>
      <c r="E25" s="3"/>
      <c r="F25" s="6"/>
      <c r="G25" s="3"/>
      <c r="H25" s="3"/>
      <c r="I25" s="3" t="str">
        <f ca="1">IFERROR(__xludf.DUMMYFUNCTION("""COMPUTED_VALUE"""),"Explore")</f>
        <v>Explore</v>
      </c>
      <c r="J25" s="3" t="str">
        <f ca="1">IFERROR(__xludf.DUMMYFUNCTION("""COMPUTED_VALUE"""),"Science")</f>
        <v>Science</v>
      </c>
      <c r="K25" s="3" t="str">
        <f ca="1">IFERROR(__xludf.DUMMYFUNCTION("""COMPUTED_VALUE"""),"Fourth")</f>
        <v>Fourth</v>
      </c>
      <c r="L25" s="3"/>
      <c r="M25" s="3"/>
      <c r="N25" s="3"/>
      <c r="O25" s="3"/>
      <c r="P25" s="3"/>
      <c r="Q25" s="3"/>
      <c r="R25" s="3"/>
      <c r="S25" s="3"/>
      <c r="T25" s="3" t="str">
        <f ca="1">IFERROR(__xludf.DUMMYFUNCTION("""COMPUTED_VALUE"""),"Cleveland")</f>
        <v>Cleveland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IFERROR(__xludf.DUMMYFUNCTION("""COMPUTED_VALUE"""),45667.6213561574)</f>
        <v>45667.621356157397</v>
      </c>
      <c r="B26" s="3" t="str">
        <f ca="1">IFERROR(__xludf.DUMMYFUNCTION("""COMPUTED_VALUE"""),"sringus@normanps.org")</f>
        <v>sringus@normanps.org</v>
      </c>
      <c r="C26" s="3"/>
      <c r="D26" s="3"/>
      <c r="E26" s="3"/>
      <c r="F26" s="6"/>
      <c r="G26" s="3"/>
      <c r="H26" s="3"/>
      <c r="I26" s="3" t="str">
        <f ca="1">IFERROR(__xludf.DUMMYFUNCTION("""COMPUTED_VALUE"""),"Inquire")</f>
        <v>Inquire</v>
      </c>
      <c r="J26" s="3" t="str">
        <f ca="1">IFERROR(__xludf.DUMMYFUNCTION("""COMPUTED_VALUE"""),"ELA")</f>
        <v>ELA</v>
      </c>
      <c r="K26" s="3" t="str">
        <f ca="1">IFERROR(__xludf.DUMMYFUNCTION("""COMPUTED_VALUE"""),"Fifth")</f>
        <v>Fifth</v>
      </c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IFERROR(__xludf.DUMMYFUNCTION("""COMPUTED_VALUE"""),"Cleveland")</f>
        <v>Cleveland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IFERROR(__xludf.DUMMYFUNCTION("""COMPUTED_VALUE"""),45667.6486661226)</f>
        <v>45667.648666122601</v>
      </c>
      <c r="B27" s="3" t="str">
        <f ca="1">IFERROR(__xludf.DUMMYFUNCTION("""COMPUTED_VALUE"""),"sringus@normanps.org")</f>
        <v>sringus@normanps.org</v>
      </c>
      <c r="C27" s="3"/>
      <c r="D27" s="3"/>
      <c r="E27" s="3"/>
      <c r="F27" s="6"/>
      <c r="G27" s="3"/>
      <c r="H27" s="3"/>
      <c r="I27" s="3" t="str">
        <f ca="1">IFERROR(__xludf.DUMMYFUNCTION("""COMPUTED_VALUE"""),"Explore")</f>
        <v>Explore</v>
      </c>
      <c r="J27" s="3" t="str">
        <f ca="1">IFERROR(__xludf.DUMMYFUNCTION("""COMPUTED_VALUE"""),"Direct Instruction")</f>
        <v>Direct Instruction</v>
      </c>
      <c r="K27" s="3" t="str">
        <f ca="1">IFERROR(__xludf.DUMMYFUNCTION("""COMPUTED_VALUE"""),"First")</f>
        <v>First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IFERROR(__xludf.DUMMYFUNCTION("""COMPUTED_VALUE"""),"Cleveland")</f>
        <v>Cleveland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IFERROR(__xludf.DUMMYFUNCTION("""COMPUTED_VALUE"""),45667.6488890856)</f>
        <v>45667.648889085598</v>
      </c>
      <c r="B28" s="3" t="str">
        <f ca="1">IFERROR(__xludf.DUMMYFUNCTION("""COMPUTED_VALUE"""),"sringus@normanps.org")</f>
        <v>sringus@normanps.org</v>
      </c>
      <c r="C28" s="3"/>
      <c r="D28" s="3"/>
      <c r="E28" s="3"/>
      <c r="F28" s="6"/>
      <c r="G28" s="3"/>
      <c r="H28" s="3"/>
      <c r="I28" s="3" t="str">
        <f ca="1">IFERROR(__xludf.DUMMYFUNCTION("""COMPUTED_VALUE"""),"Explore")</f>
        <v>Explore</v>
      </c>
      <c r="J28" s="3" t="str">
        <f ca="1">IFERROR(__xludf.DUMMYFUNCTION("""COMPUTED_VALUE"""),"Direct Instruction")</f>
        <v>Direct Instruction</v>
      </c>
      <c r="K28" s="3" t="str">
        <f ca="1">IFERROR(__xludf.DUMMYFUNCTION("""COMPUTED_VALUE"""),"Second")</f>
        <v>Second</v>
      </c>
      <c r="L28" s="3"/>
      <c r="M28" s="3"/>
      <c r="N28" s="3"/>
      <c r="O28" s="3"/>
      <c r="P28" s="3"/>
      <c r="Q28" s="3"/>
      <c r="R28" s="3"/>
      <c r="S28" s="3"/>
      <c r="T28" s="3" t="str">
        <f ca="1">IFERROR(__xludf.DUMMYFUNCTION("""COMPUTED_VALUE"""),"Cleveland")</f>
        <v>Cleveland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IFERROR(__xludf.DUMMYFUNCTION("""COMPUTED_VALUE"""),45667.6491199305)</f>
        <v>45667.649119930502</v>
      </c>
      <c r="B29" s="3" t="str">
        <f ca="1">IFERROR(__xludf.DUMMYFUNCTION("""COMPUTED_VALUE"""),"sringus@normanps.org")</f>
        <v>sringus@normanps.org</v>
      </c>
      <c r="C29" s="3"/>
      <c r="D29" s="3"/>
      <c r="E29" s="3"/>
      <c r="F29" s="6"/>
      <c r="G29" s="3"/>
      <c r="H29" s="3"/>
      <c r="I29" s="3" t="str">
        <f ca="1">IFERROR(__xludf.DUMMYFUNCTION("""COMPUTED_VALUE"""),"Explore")</f>
        <v>Explore</v>
      </c>
      <c r="J29" s="3" t="str">
        <f ca="1">IFERROR(__xludf.DUMMYFUNCTION("""COMPUTED_VALUE"""),"Direct Instruction")</f>
        <v>Direct Instruction</v>
      </c>
      <c r="K29" s="3" t="str">
        <f ca="1">IFERROR(__xludf.DUMMYFUNCTION("""COMPUTED_VALUE"""),"Third")</f>
        <v>Third</v>
      </c>
      <c r="L29" s="3"/>
      <c r="M29" s="3"/>
      <c r="N29" s="3"/>
      <c r="O29" s="3"/>
      <c r="P29" s="3"/>
      <c r="Q29" s="3"/>
      <c r="R29" s="3"/>
      <c r="S29" s="3"/>
      <c r="T29" s="3" t="str">
        <f ca="1">IFERROR(__xludf.DUMMYFUNCTION("""COMPUTED_VALUE"""),"Cleveland")</f>
        <v>Cleveland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IFERROR(__xludf.DUMMYFUNCTION("""COMPUTED_VALUE"""),45667.6493140046)</f>
        <v>45667.6493140046</v>
      </c>
      <c r="B30" s="3" t="str">
        <f ca="1">IFERROR(__xludf.DUMMYFUNCTION("""COMPUTED_VALUE"""),"sringus@normanps.org")</f>
        <v>sringus@normanps.org</v>
      </c>
      <c r="C30" s="3"/>
      <c r="D30" s="3"/>
      <c r="E30" s="3"/>
      <c r="F30" s="6"/>
      <c r="G30" s="3"/>
      <c r="H30" s="3"/>
      <c r="I30" s="3" t="str">
        <f ca="1">IFERROR(__xludf.DUMMYFUNCTION("""COMPUTED_VALUE"""),"Explore")</f>
        <v>Explore</v>
      </c>
      <c r="J30" s="3" t="str">
        <f ca="1">IFERROR(__xludf.DUMMYFUNCTION("""COMPUTED_VALUE"""),"Direct Instruction")</f>
        <v>Direct Instruction</v>
      </c>
      <c r="K30" s="3" t="str">
        <f ca="1">IFERROR(__xludf.DUMMYFUNCTION("""COMPUTED_VALUE"""),"Fourth")</f>
        <v>Fourth</v>
      </c>
      <c r="L30" s="3"/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IFERROR(__xludf.DUMMYFUNCTION("""COMPUTED_VALUE"""),"Cleveland")</f>
        <v>Cleveland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IFERROR(__xludf.DUMMYFUNCTION("""COMPUTED_VALUE"""),45667.6495226736)</f>
        <v>45667.649522673601</v>
      </c>
      <c r="B31" s="3" t="str">
        <f ca="1">IFERROR(__xludf.DUMMYFUNCTION("""COMPUTED_VALUE"""),"sringus@normanps.org")</f>
        <v>sringus@normanps.org</v>
      </c>
      <c r="C31" s="3"/>
      <c r="D31" s="3"/>
      <c r="E31" s="3"/>
      <c r="F31" s="6"/>
      <c r="G31" s="3"/>
      <c r="H31" s="3"/>
      <c r="I31" s="3" t="str">
        <f ca="1">IFERROR(__xludf.DUMMYFUNCTION("""COMPUTED_VALUE"""),"Explore")</f>
        <v>Explore</v>
      </c>
      <c r="J31" s="3" t="str">
        <f ca="1">IFERROR(__xludf.DUMMYFUNCTION("""COMPUTED_VALUE"""),"Direct Instruction")</f>
        <v>Direct Instruction</v>
      </c>
      <c r="K31" s="3" t="str">
        <f ca="1">IFERROR(__xludf.DUMMYFUNCTION("""COMPUTED_VALUE"""),"Fifth")</f>
        <v>Fifth</v>
      </c>
      <c r="L31" s="3"/>
      <c r="M31" s="3"/>
      <c r="N31" s="3"/>
      <c r="O31" s="3"/>
      <c r="P31" s="3"/>
      <c r="Q31" s="3"/>
      <c r="R31" s="3"/>
      <c r="S31" s="3"/>
      <c r="T31" s="3" t="str">
        <f ca="1">IFERROR(__xludf.DUMMYFUNCTION("""COMPUTED_VALUE"""),"Cleveland")</f>
        <v>Cleveland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IFERROR(__xludf.DUMMYFUNCTION("""COMPUTED_VALUE"""),45672.3296552662)</f>
        <v>45672.3296552662</v>
      </c>
      <c r="B32" s="3" t="str">
        <f ca="1">IFERROR(__xludf.DUMMYFUNCTION("""COMPUTED_VALUE"""),"sschrank@normanps.org")</f>
        <v>sschrank@normanps.org</v>
      </c>
      <c r="C32" s="3">
        <f ca="1">IFERROR(__xludf.DUMMYFUNCTION("""COMPUTED_VALUE"""),1795)</f>
        <v>1795</v>
      </c>
      <c r="D32" s="3"/>
      <c r="E32" s="3"/>
      <c r="F32" s="6"/>
      <c r="G32" s="3"/>
      <c r="H32" s="3"/>
      <c r="I32" s="3"/>
      <c r="J32" s="3"/>
      <c r="K32" s="3"/>
      <c r="L32" s="3"/>
      <c r="M32" s="3"/>
      <c r="N32" s="3">
        <f ca="1">IFERROR(__xludf.DUMMYFUNCTION("""COMPUTED_VALUE"""),125)</f>
        <v>125</v>
      </c>
      <c r="O32" s="3"/>
      <c r="P32" s="3"/>
      <c r="Q32" s="3"/>
      <c r="R32" s="3"/>
      <c r="S32" s="3"/>
      <c r="T32" s="3" t="str">
        <f ca="1">IFERROR(__xludf.DUMMYFUNCTION("""COMPUTED_VALUE"""),"Cleveland")</f>
        <v>Cleveland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IFERROR(__xludf.DUMMYFUNCTION("""COMPUTED_VALUE"""),45672.4386303009)</f>
        <v>45672.438630300901</v>
      </c>
      <c r="B33" s="3" t="str">
        <f ca="1">IFERROR(__xludf.DUMMYFUNCTION("""COMPUTED_VALUE"""),"sschrank@normanps.org")</f>
        <v>sschrank@normanps.org</v>
      </c>
      <c r="C33" s="3">
        <f ca="1">IFERROR(__xludf.DUMMYFUNCTION("""COMPUTED_VALUE"""),-4043)</f>
        <v>-4043</v>
      </c>
      <c r="D33" s="3"/>
      <c r="E33" s="3"/>
      <c r="F33" s="6"/>
      <c r="G33" s="3"/>
      <c r="H33" s="3"/>
      <c r="I33" s="3"/>
      <c r="J33" s="3"/>
      <c r="K33" s="3"/>
      <c r="L33" s="3"/>
      <c r="M33" s="3"/>
      <c r="N33" s="3">
        <f ca="1">IFERROR(__xludf.DUMMYFUNCTION("""COMPUTED_VALUE"""),-454)</f>
        <v>-454</v>
      </c>
      <c r="O33" s="3"/>
      <c r="P33" s="3"/>
      <c r="Q33" s="3"/>
      <c r="R33" s="3"/>
      <c r="S33" s="3"/>
      <c r="T33" s="3" t="str">
        <f ca="1">IFERROR(__xludf.DUMMYFUNCTION("""COMPUTED_VALUE"""),"Cleveland")</f>
        <v>Cleveland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IFERROR(__xludf.DUMMYFUNCTION("""COMPUTED_VALUE"""),45693.4798840625)</f>
        <v>45693.479884062501</v>
      </c>
      <c r="B34" s="3" t="str">
        <f ca="1">IFERROR(__xludf.DUMMYFUNCTION("""COMPUTED_VALUE"""),"sschrank@normanps.org")</f>
        <v>sschrank@normanps.org</v>
      </c>
      <c r="C34" s="3">
        <f ca="1">IFERROR(__xludf.DUMMYFUNCTION("""COMPUTED_VALUE"""),2432)</f>
        <v>2432</v>
      </c>
      <c r="D34" s="3"/>
      <c r="E34" s="3"/>
      <c r="F34" s="6"/>
      <c r="G34" s="3"/>
      <c r="H34" s="3"/>
      <c r="I34" s="3"/>
      <c r="J34" s="3"/>
      <c r="K34" s="3"/>
      <c r="L34" s="3"/>
      <c r="M34" s="3"/>
      <c r="N34" s="3">
        <f ca="1">IFERROR(__xludf.DUMMYFUNCTION("""COMPUTED_VALUE"""),205)</f>
        <v>205</v>
      </c>
      <c r="O34" s="3"/>
      <c r="P34" s="3"/>
      <c r="Q34" s="3"/>
      <c r="R34" s="3"/>
      <c r="S34" s="3"/>
      <c r="T34" s="3" t="str">
        <f ca="1">IFERROR(__xludf.DUMMYFUNCTION("""COMPUTED_VALUE"""),"Cleveland")</f>
        <v>Cleveland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IFERROR(__xludf.DUMMYFUNCTION("""COMPUTED_VALUE"""),45723.5459384375)</f>
        <v>45723.545938437499</v>
      </c>
      <c r="B35" s="3" t="str">
        <f ca="1">IFERROR(__xludf.DUMMYFUNCTION("""COMPUTED_VALUE"""),"sringus@normanps.org")</f>
        <v>sringus@normanps.org</v>
      </c>
      <c r="C35" s="3"/>
      <c r="D35" s="3">
        <f ca="1">IFERROR(__xludf.DUMMYFUNCTION("""COMPUTED_VALUE"""),22)</f>
        <v>22</v>
      </c>
      <c r="E35" s="3"/>
      <c r="F35" s="6"/>
      <c r="G35" s="3">
        <f ca="1">IFERROR(__xludf.DUMMYFUNCTION("""COMPUTED_VALUE"""),2)</f>
        <v>2</v>
      </c>
      <c r="H35" s="3">
        <f ca="1">IFERROR(__xludf.DUMMYFUNCTION("""COMPUTED_VALUE"""),33)</f>
        <v>33</v>
      </c>
      <c r="I35" s="3" t="str">
        <f ca="1">IFERROR(__xludf.DUMMYFUNCTION("""COMPUTED_VALUE"""),"Include")</f>
        <v>Include</v>
      </c>
      <c r="J35" s="3" t="str">
        <f ca="1">IFERROR(__xludf.DUMMYFUNCTION("""COMPUTED_VALUE"""),"ELA")</f>
        <v>ELA</v>
      </c>
      <c r="K35" s="3" t="str">
        <f ca="1">IFERROR(__xludf.DUMMYFUNCTION("""COMPUTED_VALUE"""),"Prek")</f>
        <v>Prek</v>
      </c>
      <c r="L35" s="3" t="str">
        <f ca="1">IFERROR(__xludf.DUMMYFUNCTION("""COMPUTED_VALUE"""),"Puzzles")</f>
        <v>Puzzles</v>
      </c>
      <c r="M35" s="3">
        <f ca="1">IFERROR(__xludf.DUMMYFUNCTION("""COMPUTED_VALUE"""),20)</f>
        <v>20</v>
      </c>
      <c r="N35" s="3"/>
      <c r="O35" s="3"/>
      <c r="P35" s="3"/>
      <c r="Q35" s="3" t="str">
        <f ca="1">IFERROR(__xludf.DUMMYFUNCTION("""COMPUTED_VALUE"""),"Site leadership")</f>
        <v>Site leadership</v>
      </c>
      <c r="R35" s="3"/>
      <c r="S35" s="3">
        <f ca="1">IFERROR(__xludf.DUMMYFUNCTION("""COMPUTED_VALUE"""),0)</f>
        <v>0</v>
      </c>
      <c r="T35" s="3" t="str">
        <f ca="1">IFERROR(__xludf.DUMMYFUNCTION("""COMPUTED_VALUE"""),"Cleveland")</f>
        <v>Cleveland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IFERROR(__xludf.DUMMYFUNCTION("""COMPUTED_VALUE"""),45723.5461786921)</f>
        <v>45723.546178692101</v>
      </c>
      <c r="B36" s="3" t="str">
        <f ca="1">IFERROR(__xludf.DUMMYFUNCTION("""COMPUTED_VALUE"""),"sringus@normanps.org")</f>
        <v>sringus@normanps.org</v>
      </c>
      <c r="C36" s="3"/>
      <c r="D36" s="3"/>
      <c r="E36" s="3"/>
      <c r="F36" s="6"/>
      <c r="G36" s="3"/>
      <c r="H36" s="3"/>
      <c r="I36" s="3" t="str">
        <f ca="1">IFERROR(__xludf.DUMMYFUNCTION("""COMPUTED_VALUE"""),"Include")</f>
        <v>Include</v>
      </c>
      <c r="J36" s="3" t="str">
        <f ca="1">IFERROR(__xludf.DUMMYFUNCTION("""COMPUTED_VALUE"""),"ELA")</f>
        <v>ELA</v>
      </c>
      <c r="K36" s="3" t="str">
        <f ca="1">IFERROR(__xludf.DUMMYFUNCTION("""COMPUTED_VALUE"""),"Kindergarten")</f>
        <v>Kindergarten</v>
      </c>
      <c r="L36" s="3"/>
      <c r="M36" s="3"/>
      <c r="N36" s="3"/>
      <c r="O36" s="3"/>
      <c r="P36" s="3"/>
      <c r="Q36" s="3"/>
      <c r="R36" s="3"/>
      <c r="S36" s="3"/>
      <c r="T36" s="3" t="str">
        <f ca="1">IFERROR(__xludf.DUMMYFUNCTION("""COMPUTED_VALUE"""),"Cleveland")</f>
        <v>Cleveland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IFERROR(__xludf.DUMMYFUNCTION("""COMPUTED_VALUE"""),45723.5464912499)</f>
        <v>45723.546491249901</v>
      </c>
      <c r="B37" s="3" t="str">
        <f ca="1">IFERROR(__xludf.DUMMYFUNCTION("""COMPUTED_VALUE"""),"sringus@normanps.org")</f>
        <v>sringus@normanps.org</v>
      </c>
      <c r="C37" s="3"/>
      <c r="D37" s="3"/>
      <c r="E37" s="3"/>
      <c r="F37" s="6"/>
      <c r="G37" s="3"/>
      <c r="H37" s="3"/>
      <c r="I37" s="3" t="str">
        <f ca="1">IFERROR(__xludf.DUMMYFUNCTION("""COMPUTED_VALUE"""),"Include")</f>
        <v>Include</v>
      </c>
      <c r="J37" s="3" t="str">
        <f ca="1">IFERROR(__xludf.DUMMYFUNCTION("""COMPUTED_VALUE"""),"ELA")</f>
        <v>ELA</v>
      </c>
      <c r="K37" s="3" t="str">
        <f ca="1">IFERROR(__xludf.DUMMYFUNCTION("""COMPUTED_VALUE"""),"First")</f>
        <v>First</v>
      </c>
      <c r="L37" s="3"/>
      <c r="M37" s="3"/>
      <c r="N37" s="3"/>
      <c r="O37" s="3"/>
      <c r="P37" s="3"/>
      <c r="Q37" s="3"/>
      <c r="R37" s="3"/>
      <c r="S37" s="3"/>
      <c r="T37" s="3" t="str">
        <f ca="1">IFERROR(__xludf.DUMMYFUNCTION("""COMPUTED_VALUE"""),"Cleveland")</f>
        <v>Cleveland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IFERROR(__xludf.DUMMYFUNCTION("""COMPUTED_VALUE"""),45723.5467134259)</f>
        <v>45723.546713425902</v>
      </c>
      <c r="B38" s="3" t="str">
        <f ca="1">IFERROR(__xludf.DUMMYFUNCTION("""COMPUTED_VALUE"""),"sringus@normanps.org")</f>
        <v>sringus@normanps.org</v>
      </c>
      <c r="C38" s="3"/>
      <c r="D38" s="3"/>
      <c r="E38" s="3"/>
      <c r="F38" s="6"/>
      <c r="G38" s="3"/>
      <c r="H38" s="3"/>
      <c r="I38" s="3" t="str">
        <f ca="1">IFERROR(__xludf.DUMMYFUNCTION("""COMPUTED_VALUE"""),"Include")</f>
        <v>Include</v>
      </c>
      <c r="J38" s="3" t="str">
        <f ca="1">IFERROR(__xludf.DUMMYFUNCTION("""COMPUTED_VALUE"""),"ELA")</f>
        <v>ELA</v>
      </c>
      <c r="K38" s="3" t="str">
        <f ca="1">IFERROR(__xludf.DUMMYFUNCTION("""COMPUTED_VALUE"""),"First")</f>
        <v>First</v>
      </c>
      <c r="L38" s="3"/>
      <c r="M38" s="3"/>
      <c r="N38" s="3"/>
      <c r="O38" s="3"/>
      <c r="P38" s="3"/>
      <c r="Q38" s="3"/>
      <c r="R38" s="3"/>
      <c r="S38" s="3"/>
      <c r="T38" s="3" t="str">
        <f ca="1">IFERROR(__xludf.DUMMYFUNCTION("""COMPUTED_VALUE"""),"Cleveland")</f>
        <v>Cleveland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IFERROR(__xludf.DUMMYFUNCTION("""COMPUTED_VALUE"""),45723.5469011805)</f>
        <v>45723.546901180503</v>
      </c>
      <c r="B39" s="3" t="str">
        <f ca="1">IFERROR(__xludf.DUMMYFUNCTION("""COMPUTED_VALUE"""),"sringus@normanps.org")</f>
        <v>sringus@normanps.org</v>
      </c>
      <c r="C39" s="3"/>
      <c r="D39" s="3"/>
      <c r="E39" s="3"/>
      <c r="F39" s="6"/>
      <c r="G39" s="3"/>
      <c r="H39" s="3"/>
      <c r="I39" s="3" t="str">
        <f ca="1">IFERROR(__xludf.DUMMYFUNCTION("""COMPUTED_VALUE"""),"Include")</f>
        <v>Include</v>
      </c>
      <c r="J39" s="3" t="str">
        <f ca="1">IFERROR(__xludf.DUMMYFUNCTION("""COMPUTED_VALUE"""),"ELA")</f>
        <v>ELA</v>
      </c>
      <c r="K39" s="3" t="str">
        <f ca="1">IFERROR(__xludf.DUMMYFUNCTION("""COMPUTED_VALUE"""),"Second")</f>
        <v>Second</v>
      </c>
      <c r="L39" s="3"/>
      <c r="M39" s="3"/>
      <c r="N39" s="3"/>
      <c r="O39" s="3"/>
      <c r="P39" s="3"/>
      <c r="Q39" s="3"/>
      <c r="R39" s="3"/>
      <c r="S39" s="3"/>
      <c r="T39" s="3" t="str">
        <f ca="1">IFERROR(__xludf.DUMMYFUNCTION("""COMPUTED_VALUE"""),"Cleveland")</f>
        <v>Cleveland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IFERROR(__xludf.DUMMYFUNCTION("""COMPUTED_VALUE"""),45723.5471200115)</f>
        <v>45723.547120011499</v>
      </c>
      <c r="B40" s="3" t="str">
        <f ca="1">IFERROR(__xludf.DUMMYFUNCTION("""COMPUTED_VALUE"""),"sringus@normanps.org")</f>
        <v>sringus@normanps.org</v>
      </c>
      <c r="C40" s="3"/>
      <c r="D40" s="3"/>
      <c r="E40" s="3"/>
      <c r="F40" s="6"/>
      <c r="G40" s="3"/>
      <c r="H40" s="3"/>
      <c r="I40" s="3" t="str">
        <f ca="1">IFERROR(__xludf.DUMMYFUNCTION("""COMPUTED_VALUE"""),"Include")</f>
        <v>Include</v>
      </c>
      <c r="J40" s="3" t="str">
        <f ca="1">IFERROR(__xludf.DUMMYFUNCTION("""COMPUTED_VALUE"""),"ELA")</f>
        <v>ELA</v>
      </c>
      <c r="K40" s="3" t="str">
        <f ca="1">IFERROR(__xludf.DUMMYFUNCTION("""COMPUTED_VALUE"""),"Third")</f>
        <v>Third</v>
      </c>
      <c r="L40" s="3"/>
      <c r="M40" s="3"/>
      <c r="N40" s="3"/>
      <c r="O40" s="3"/>
      <c r="P40" s="3"/>
      <c r="Q40" s="3"/>
      <c r="R40" s="3"/>
      <c r="S40" s="3"/>
      <c r="T40" s="3" t="str">
        <f ca="1">IFERROR(__xludf.DUMMYFUNCTION("""COMPUTED_VALUE"""),"Cleveland")</f>
        <v>Cleveland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IFERROR(__xludf.DUMMYFUNCTION("""COMPUTED_VALUE"""),45723.5473274189)</f>
        <v>45723.547327418899</v>
      </c>
      <c r="B41" s="3" t="str">
        <f ca="1">IFERROR(__xludf.DUMMYFUNCTION("""COMPUTED_VALUE"""),"sringus@normanps.org")</f>
        <v>sringus@normanps.org</v>
      </c>
      <c r="C41" s="3"/>
      <c r="D41" s="3"/>
      <c r="E41" s="3"/>
      <c r="F41" s="6"/>
      <c r="G41" s="3"/>
      <c r="H41" s="3"/>
      <c r="I41" s="3" t="str">
        <f ca="1">IFERROR(__xludf.DUMMYFUNCTION("""COMPUTED_VALUE"""),"Include")</f>
        <v>Include</v>
      </c>
      <c r="J41" s="3" t="str">
        <f ca="1">IFERROR(__xludf.DUMMYFUNCTION("""COMPUTED_VALUE"""),"ELA")</f>
        <v>ELA</v>
      </c>
      <c r="K41" s="3" t="str">
        <f ca="1">IFERROR(__xludf.DUMMYFUNCTION("""COMPUTED_VALUE"""),"Third")</f>
        <v>Third</v>
      </c>
      <c r="L41" s="3"/>
      <c r="M41" s="3"/>
      <c r="N41" s="3"/>
      <c r="O41" s="3"/>
      <c r="P41" s="3"/>
      <c r="Q41" s="3"/>
      <c r="R41" s="3"/>
      <c r="S41" s="3"/>
      <c r="T41" s="3" t="str">
        <f ca="1">IFERROR(__xludf.DUMMYFUNCTION("""COMPUTED_VALUE"""),"Cleveland")</f>
        <v>Cleveland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f ca="1">IFERROR(__xludf.DUMMYFUNCTION("""COMPUTED_VALUE"""),45723.5474855786)</f>
        <v>45723.547485578601</v>
      </c>
      <c r="B42" s="3" t="str">
        <f ca="1">IFERROR(__xludf.DUMMYFUNCTION("""COMPUTED_VALUE"""),"sringus@normanps.org")</f>
        <v>sringus@normanps.org</v>
      </c>
      <c r="C42" s="3"/>
      <c r="D42" s="3"/>
      <c r="E42" s="3"/>
      <c r="F42" s="6"/>
      <c r="G42" s="3"/>
      <c r="H42" s="3"/>
      <c r="I42" s="3" t="str">
        <f ca="1">IFERROR(__xludf.DUMMYFUNCTION("""COMPUTED_VALUE"""),"Include")</f>
        <v>Include</v>
      </c>
      <c r="J42" s="3" t="str">
        <f ca="1">IFERROR(__xludf.DUMMYFUNCTION("""COMPUTED_VALUE"""),"ELA")</f>
        <v>ELA</v>
      </c>
      <c r="K42" s="3" t="str">
        <f ca="1">IFERROR(__xludf.DUMMYFUNCTION("""COMPUTED_VALUE"""),"Fourth")</f>
        <v>Fourth</v>
      </c>
      <c r="L42" s="3"/>
      <c r="M42" s="3"/>
      <c r="N42" s="3"/>
      <c r="O42" s="3"/>
      <c r="P42" s="3"/>
      <c r="Q42" s="3"/>
      <c r="R42" s="3"/>
      <c r="S42" s="3"/>
      <c r="T42" s="3" t="str">
        <f ca="1">IFERROR(__xludf.DUMMYFUNCTION("""COMPUTED_VALUE"""),"Cleveland")</f>
        <v>Cleveland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f ca="1">IFERROR(__xludf.DUMMYFUNCTION("""COMPUTED_VALUE"""),45723.5476876041)</f>
        <v>45723.547687604099</v>
      </c>
      <c r="B43" s="3" t="str">
        <f ca="1">IFERROR(__xludf.DUMMYFUNCTION("""COMPUTED_VALUE"""),"sringus@normanps.org")</f>
        <v>sringus@normanps.org</v>
      </c>
      <c r="C43" s="3"/>
      <c r="D43" s="3"/>
      <c r="E43" s="3"/>
      <c r="F43" s="6"/>
      <c r="G43" s="3"/>
      <c r="H43" s="3"/>
      <c r="I43" s="3" t="str">
        <f ca="1">IFERROR(__xludf.DUMMYFUNCTION("""COMPUTED_VALUE"""),"Include")</f>
        <v>Include</v>
      </c>
      <c r="J43" s="3" t="str">
        <f ca="1">IFERROR(__xludf.DUMMYFUNCTION("""COMPUTED_VALUE"""),"ELA")</f>
        <v>ELA</v>
      </c>
      <c r="K43" s="3" t="str">
        <f ca="1">IFERROR(__xludf.DUMMYFUNCTION("""COMPUTED_VALUE"""),"Fifth")</f>
        <v>Fifth</v>
      </c>
      <c r="L43" s="3"/>
      <c r="M43" s="3"/>
      <c r="N43" s="3"/>
      <c r="O43" s="3"/>
      <c r="P43" s="3"/>
      <c r="Q43" s="3"/>
      <c r="R43" s="3"/>
      <c r="S43" s="3"/>
      <c r="T43" s="3" t="str">
        <f ca="1">IFERROR(__xludf.DUMMYFUNCTION("""COMPUTED_VALUE"""),"Cleveland")</f>
        <v>Cleveland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2">
        <f ca="1">IFERROR(__xludf.DUMMYFUNCTION("""COMPUTED_VALUE"""),45723.5479106597)</f>
        <v>45723.547910659698</v>
      </c>
      <c r="B44" s="3" t="str">
        <f ca="1">IFERROR(__xludf.DUMMYFUNCTION("""COMPUTED_VALUE"""),"sringus@normanps.org")</f>
        <v>sringus@normanps.org</v>
      </c>
      <c r="C44" s="3"/>
      <c r="D44" s="3"/>
      <c r="E44" s="3"/>
      <c r="F44" s="6"/>
      <c r="G44" s="3"/>
      <c r="H44" s="3"/>
      <c r="I44" s="3" t="str">
        <f ca="1">IFERROR(__xludf.DUMMYFUNCTION("""COMPUTED_VALUE"""),"Include")</f>
        <v>Include</v>
      </c>
      <c r="J44" s="3" t="str">
        <f ca="1">IFERROR(__xludf.DUMMYFUNCTION("""COMPUTED_VALUE"""),"ELA")</f>
        <v>ELA</v>
      </c>
      <c r="K44" s="3" t="str">
        <f ca="1">IFERROR(__xludf.DUMMYFUNCTION("""COMPUTED_VALUE"""),"Autism/SPED multi-level elementary")</f>
        <v>Autism/SPED multi-level elementary</v>
      </c>
      <c r="L44" s="3"/>
      <c r="M44" s="3"/>
      <c r="N44" s="3"/>
      <c r="O44" s="3"/>
      <c r="P44" s="3"/>
      <c r="Q44" s="3"/>
      <c r="R44" s="3"/>
      <c r="S44" s="3"/>
      <c r="T44" s="3" t="str">
        <f ca="1">IFERROR(__xludf.DUMMYFUNCTION("""COMPUTED_VALUE"""),"Cleveland")</f>
        <v>Cleveland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2">
        <f ca="1">IFERROR(__xludf.DUMMYFUNCTION("""COMPUTED_VALUE"""),45723.5483998032)</f>
        <v>45723.5483998032</v>
      </c>
      <c r="B45" s="3" t="str">
        <f ca="1">IFERROR(__xludf.DUMMYFUNCTION("""COMPUTED_VALUE"""),"sringus@normanps.org")</f>
        <v>sringus@normanps.org</v>
      </c>
      <c r="C45" s="3"/>
      <c r="D45" s="3"/>
      <c r="E45" s="3"/>
      <c r="F45" s="6"/>
      <c r="G45" s="3"/>
      <c r="H45" s="3"/>
      <c r="I45" s="3" t="str">
        <f ca="1">IFERROR(__xludf.DUMMYFUNCTION("""COMPUTED_VALUE"""),"Explore")</f>
        <v>Explore</v>
      </c>
      <c r="J45" s="3" t="str">
        <f ca="1">IFERROR(__xludf.DUMMYFUNCTION("""COMPUTED_VALUE"""),"Science")</f>
        <v>Science</v>
      </c>
      <c r="K45" s="3" t="str">
        <f ca="1">IFERROR(__xludf.DUMMYFUNCTION("""COMPUTED_VALUE"""),"Autism/SPED multi-level elementary")</f>
        <v>Autism/SPED multi-level elementary</v>
      </c>
      <c r="L45" s="3"/>
      <c r="M45" s="3"/>
      <c r="N45" s="3"/>
      <c r="O45" s="3"/>
      <c r="P45" s="3"/>
      <c r="Q45" s="3"/>
      <c r="R45" s="3"/>
      <c r="S45" s="3"/>
      <c r="T45" s="3" t="str">
        <f ca="1">IFERROR(__xludf.DUMMYFUNCTION("""COMPUTED_VALUE"""),"Cleveland")</f>
        <v>Cleveland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2">
        <f ca="1">IFERROR(__xludf.DUMMYFUNCTION("""COMPUTED_VALUE"""),45723.5541336226)</f>
        <v>45723.554133622602</v>
      </c>
      <c r="B46" s="3" t="str">
        <f ca="1">IFERROR(__xludf.DUMMYFUNCTION("""COMPUTED_VALUE"""),"sringus@normanps.org")</f>
        <v>sringus@normanps.org</v>
      </c>
      <c r="C46" s="3"/>
      <c r="D46" s="3"/>
      <c r="E46" s="3"/>
      <c r="F46" s="6"/>
      <c r="G46" s="3"/>
      <c r="H46" s="3"/>
      <c r="I46" s="3" t="str">
        <f ca="1">IFERROR(__xludf.DUMMYFUNCTION("""COMPUTED_VALUE"""),"Curate")</f>
        <v>Curate</v>
      </c>
      <c r="J46" s="3" t="str">
        <f ca="1">IFERROR(__xludf.DUMMYFUNCTION("""COMPUTED_VALUE"""),"ELA")</f>
        <v>ELA</v>
      </c>
      <c r="K46" s="3" t="str">
        <f ca="1">IFERROR(__xludf.DUMMYFUNCTION("""COMPUTED_VALUE"""),"Second")</f>
        <v>Second</v>
      </c>
      <c r="L46" s="3"/>
      <c r="M46" s="3"/>
      <c r="N46" s="3"/>
      <c r="O46" s="3"/>
      <c r="P46" s="3"/>
      <c r="Q46" s="3"/>
      <c r="R46" s="3"/>
      <c r="S46" s="3"/>
      <c r="T46" s="3" t="str">
        <f ca="1">IFERROR(__xludf.DUMMYFUNCTION("""COMPUTED_VALUE"""),"Cleveland")</f>
        <v>Cleveland</v>
      </c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2">
        <f ca="1">IFERROR(__xludf.DUMMYFUNCTION("""COMPUTED_VALUE"""),45723.5543409143)</f>
        <v>45723.554340914299</v>
      </c>
      <c r="B47" s="3" t="str">
        <f ca="1">IFERROR(__xludf.DUMMYFUNCTION("""COMPUTED_VALUE"""),"sringus@normanps.org")</f>
        <v>sringus@normanps.org</v>
      </c>
      <c r="C47" s="3"/>
      <c r="D47" s="3"/>
      <c r="E47" s="3"/>
      <c r="F47" s="6"/>
      <c r="G47" s="3"/>
      <c r="H47" s="3"/>
      <c r="I47" s="3" t="str">
        <f ca="1">IFERROR(__xludf.DUMMYFUNCTION("""COMPUTED_VALUE"""),"Curate")</f>
        <v>Curate</v>
      </c>
      <c r="J47" s="3" t="str">
        <f ca="1">IFERROR(__xludf.DUMMYFUNCTION("""COMPUTED_VALUE"""),"ELA")</f>
        <v>ELA</v>
      </c>
      <c r="K47" s="3" t="str">
        <f ca="1">IFERROR(__xludf.DUMMYFUNCTION("""COMPUTED_VALUE"""),"Third")</f>
        <v>Third</v>
      </c>
      <c r="L47" s="3"/>
      <c r="M47" s="3"/>
      <c r="N47" s="3"/>
      <c r="O47" s="3"/>
      <c r="P47" s="3"/>
      <c r="Q47" s="3"/>
      <c r="R47" s="3"/>
      <c r="S47" s="3"/>
      <c r="T47" s="3" t="str">
        <f ca="1">IFERROR(__xludf.DUMMYFUNCTION("""COMPUTED_VALUE"""),"Cleveland")</f>
        <v>Cleveland</v>
      </c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2">
        <f ca="1">IFERROR(__xludf.DUMMYFUNCTION("""COMPUTED_VALUE"""),45723.554581956)</f>
        <v>45723.554581955999</v>
      </c>
      <c r="B48" s="3" t="str">
        <f ca="1">IFERROR(__xludf.DUMMYFUNCTION("""COMPUTED_VALUE"""),"sringus@normanps.org")</f>
        <v>sringus@normanps.org</v>
      </c>
      <c r="C48" s="3"/>
      <c r="D48" s="3"/>
      <c r="E48" s="3"/>
      <c r="F48" s="6"/>
      <c r="G48" s="3"/>
      <c r="H48" s="3"/>
      <c r="I48" s="3" t="str">
        <f ca="1">IFERROR(__xludf.DUMMYFUNCTION("""COMPUTED_VALUE"""),"Curate")</f>
        <v>Curate</v>
      </c>
      <c r="J48" s="3" t="str">
        <f ca="1">IFERROR(__xludf.DUMMYFUNCTION("""COMPUTED_VALUE"""),"Social Studies")</f>
        <v>Social Studies</v>
      </c>
      <c r="K48" s="3" t="str">
        <f ca="1">IFERROR(__xludf.DUMMYFUNCTION("""COMPUTED_VALUE"""),"Fourth")</f>
        <v>Fourth</v>
      </c>
      <c r="L48" s="3"/>
      <c r="M48" s="3"/>
      <c r="N48" s="3"/>
      <c r="O48" s="3"/>
      <c r="P48" s="3"/>
      <c r="Q48" s="3"/>
      <c r="R48" s="3"/>
      <c r="S48" s="3"/>
      <c r="T48" s="3" t="str">
        <f ca="1">IFERROR(__xludf.DUMMYFUNCTION("""COMPUTED_VALUE"""),"Cleveland")</f>
        <v>Cleveland</v>
      </c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2">
        <f ca="1">IFERROR(__xludf.DUMMYFUNCTION("""COMPUTED_VALUE"""),45723.5549539583)</f>
        <v>45723.554953958301</v>
      </c>
      <c r="B49" s="3" t="str">
        <f ca="1">IFERROR(__xludf.DUMMYFUNCTION("""COMPUTED_VALUE"""),"sringus@normanps.org")</f>
        <v>sringus@normanps.org</v>
      </c>
      <c r="C49" s="3"/>
      <c r="D49" s="3"/>
      <c r="E49" s="3"/>
      <c r="F49" s="6"/>
      <c r="G49" s="3"/>
      <c r="H49" s="3"/>
      <c r="I49" s="3" t="str">
        <f ca="1">IFERROR(__xludf.DUMMYFUNCTION("""COMPUTED_VALUE"""),"Engage")</f>
        <v>Engage</v>
      </c>
      <c r="J49" s="3" t="str">
        <f ca="1">IFERROR(__xludf.DUMMYFUNCTION("""COMPUTED_VALUE"""),"Science")</f>
        <v>Science</v>
      </c>
      <c r="K49" s="3" t="str">
        <f ca="1">IFERROR(__xludf.DUMMYFUNCTION("""COMPUTED_VALUE"""),"Fourth")</f>
        <v>Fourth</v>
      </c>
      <c r="L49" s="3"/>
      <c r="M49" s="3"/>
      <c r="N49" s="3"/>
      <c r="O49" s="3"/>
      <c r="P49" s="3" t="str">
        <f ca="1">IFERROR(__xludf.DUMMYFUNCTION("""COMPUTED_VALUE"""),"Pioneer Library")</f>
        <v>Pioneer Library</v>
      </c>
      <c r="Q49" s="3"/>
      <c r="R49" s="3"/>
      <c r="S49" s="3"/>
      <c r="T49" s="3" t="str">
        <f ca="1">IFERROR(__xludf.DUMMYFUNCTION("""COMPUTED_VALUE"""),"Cleveland")</f>
        <v>Cleveland</v>
      </c>
      <c r="U49" s="3"/>
      <c r="V49" s="3"/>
      <c r="W49" s="3"/>
      <c r="X49" s="3"/>
      <c r="Y49" s="3"/>
      <c r="Z49" s="3"/>
      <c r="AA49" s="3"/>
      <c r="AB49" s="3"/>
      <c r="AC49" s="3"/>
    </row>
    <row r="50" spans="1:29" ht="13" x14ac:dyDescent="0.15">
      <c r="A50" s="2">
        <f ca="1">IFERROR(__xludf.DUMMYFUNCTION("""COMPUTED_VALUE"""),45764.5038684953)</f>
        <v>45764.503868495303</v>
      </c>
      <c r="B50" s="3" t="str">
        <f ca="1">IFERROR(__xludf.DUMMYFUNCTION("""COMPUTED_VALUE"""),"sringus@normanps.org")</f>
        <v>sringus@normanps.org</v>
      </c>
      <c r="C50" s="3"/>
      <c r="D50" s="3"/>
      <c r="E50" s="3"/>
      <c r="F50" s="6">
        <f ca="1">IFERROR(__xludf.DUMMYFUNCTION("""COMPUTED_VALUE"""),0)</f>
        <v>0</v>
      </c>
      <c r="G50" s="3">
        <f ca="1">IFERROR(__xludf.DUMMYFUNCTION("""COMPUTED_VALUE"""),2)</f>
        <v>2</v>
      </c>
      <c r="H50" s="3">
        <f ca="1">IFERROR(__xludf.DUMMYFUNCTION("""COMPUTED_VALUE"""),15)</f>
        <v>15</v>
      </c>
      <c r="I50" s="3"/>
      <c r="J50" s="3"/>
      <c r="K50" s="3"/>
      <c r="L50" s="3" t="str">
        <f ca="1">IFERROR(__xludf.DUMMYFUNCTION("""COMPUTED_VALUE"""),"Puzzles")</f>
        <v>Puzzles</v>
      </c>
      <c r="M50" s="3">
        <f ca="1">IFERROR(__xludf.DUMMYFUNCTION("""COMPUTED_VALUE"""),42)</f>
        <v>42</v>
      </c>
      <c r="N50" s="3"/>
      <c r="O50" s="3"/>
      <c r="P50" s="3"/>
      <c r="Q50" s="3" t="str">
        <f ca="1">IFERROR(__xludf.DUMMYFUNCTION("""COMPUTED_VALUE"""),"Norman City Library Board")</f>
        <v>Norman City Library Board</v>
      </c>
      <c r="R50" s="3"/>
      <c r="S50" s="3"/>
      <c r="T50" s="3" t="str">
        <f ca="1">IFERROR(__xludf.DUMMYFUNCTION("""COMPUTED_VALUE"""),"Cleveland")</f>
        <v>Cleveland</v>
      </c>
      <c r="U50" s="3"/>
      <c r="V50" s="3"/>
      <c r="W50" s="3"/>
      <c r="X50" s="3"/>
      <c r="Y50" s="3"/>
      <c r="Z50" s="3"/>
      <c r="AA50" s="3"/>
      <c r="AB50" s="3"/>
      <c r="AC50" s="3"/>
    </row>
    <row r="51" spans="1:29" ht="13" x14ac:dyDescent="0.15">
      <c r="A51" s="2">
        <f ca="1">IFERROR(__xludf.DUMMYFUNCTION("""COMPUTED_VALUE"""),45764.5041896064)</f>
        <v>45764.504189606399</v>
      </c>
      <c r="B51" s="3" t="str">
        <f ca="1">IFERROR(__xludf.DUMMYFUNCTION("""COMPUTED_VALUE"""),"sringus@normanps.org")</f>
        <v>sringus@normanps.org</v>
      </c>
      <c r="C51" s="3"/>
      <c r="D51" s="3"/>
      <c r="E51" s="3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 t="str">
        <f ca="1">IFERROR(__xludf.DUMMYFUNCTION("""COMPUTED_VALUE"""),"NPS Citizens Advisory")</f>
        <v>NPS Citizens Advisory</v>
      </c>
      <c r="R51" s="3"/>
      <c r="S51" s="3"/>
      <c r="T51" s="3" t="str">
        <f ca="1">IFERROR(__xludf.DUMMYFUNCTION("""COMPUTED_VALUE"""),"Cleveland")</f>
        <v>Cleveland</v>
      </c>
      <c r="U51" s="3"/>
      <c r="V51" s="3"/>
      <c r="W51" s="3"/>
      <c r="X51" s="3"/>
      <c r="Y51" s="3"/>
      <c r="Z51" s="3"/>
      <c r="AA51" s="3"/>
      <c r="AB51" s="3"/>
      <c r="AC51" s="3"/>
    </row>
    <row r="52" spans="1:29" ht="13" x14ac:dyDescent="0.15">
      <c r="A52" s="2">
        <f ca="1">IFERROR(__xludf.DUMMYFUNCTION("""COMPUTED_VALUE"""),45764.5044180208)</f>
        <v>45764.504418020799</v>
      </c>
      <c r="B52" s="3" t="str">
        <f ca="1">IFERROR(__xludf.DUMMYFUNCTION("""COMPUTED_VALUE"""),"sringus@normanps.org")</f>
        <v>sringus@normanps.org</v>
      </c>
      <c r="C52" s="3"/>
      <c r="D52" s="3"/>
      <c r="E52" s="3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 t="str">
        <f ca="1">IFERROR(__xludf.DUMMYFUNCTION("""COMPUTED_VALUE"""),"Site leadership")</f>
        <v>Site leadership</v>
      </c>
      <c r="R52" s="3"/>
      <c r="S52" s="3"/>
      <c r="T52" s="3" t="str">
        <f ca="1">IFERROR(__xludf.DUMMYFUNCTION("""COMPUTED_VALUE"""),"Cleveland")</f>
        <v>Cleveland</v>
      </c>
      <c r="U52" s="3"/>
      <c r="V52" s="3"/>
      <c r="W52" s="3"/>
      <c r="X52" s="3"/>
      <c r="Y52" s="3"/>
      <c r="Z52" s="3"/>
      <c r="AA52" s="3"/>
      <c r="AB52" s="3"/>
      <c r="AC5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'Eisenhower'"",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IFERROR(__xludf.DUMMYFUNCTION("""COMPUTED_VALUE"""),45457.3822200463)</f>
        <v>45457.382220046296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IFERROR(__xludf.DUMMYFUNCTION("""COMPUTED_VALUE"""),"Eisenhower")</f>
        <v>Eisenhower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IFERROR(__xludf.DUMMYFUNCTION("""COMPUTED_VALUE"""),45527.5877390625)</f>
        <v>45527.587739062503</v>
      </c>
      <c r="B3" s="3" t="str">
        <f ca="1">IFERROR(__xludf.DUMMYFUNCTION("""COMPUTED_VALUE"""),"akordelis2@normanps.org")</f>
        <v>akordelis2@normanps.org</v>
      </c>
      <c r="C3" s="3">
        <f ca="1">IFERROR(__xludf.DUMMYFUNCTION("""COMPUTED_VALUE"""),1)</f>
        <v>1</v>
      </c>
      <c r="D3" s="3">
        <f ca="1">IFERROR(__xludf.DUMMYFUNCTION("""COMPUTED_VALUE"""),1)</f>
        <v>1</v>
      </c>
      <c r="E3" s="3">
        <f ca="1">IFERROR(__xludf.DUMMYFUNCTION("""COMPUTED_VALUE"""),1)</f>
        <v>1</v>
      </c>
      <c r="F3" s="6">
        <f ca="1">IFERROR(__xludf.DUMMYFUNCTION("""COMPUTED_VALUE"""),1)</f>
        <v>1</v>
      </c>
      <c r="G3" s="3">
        <f ca="1">IFERROR(__xludf.DUMMYFUNCTION("""COMPUTED_VALUE"""),1)</f>
        <v>1</v>
      </c>
      <c r="H3" s="3">
        <f ca="1">IFERROR(__xludf.DUMMYFUNCTION("""COMPUTED_VALUE"""),1)</f>
        <v>1</v>
      </c>
      <c r="I3" s="3" t="str">
        <f ca="1">IFERROR(__xludf.DUMMYFUNCTION("""COMPUTED_VALUE"""),"Inquire")</f>
        <v>Inquire</v>
      </c>
      <c r="J3" s="3" t="str">
        <f ca="1">IFERROR(__xludf.DUMMYFUNCTION("""COMPUTED_VALUE"""),"ELA")</f>
        <v>ELA</v>
      </c>
      <c r="K3" s="3" t="str">
        <f ca="1">IFERROR(__xludf.DUMMYFUNCTION("""COMPUTED_VALUE"""),"Prek")</f>
        <v>Prek</v>
      </c>
      <c r="L3" s="3" t="str">
        <f ca="1">IFERROR(__xludf.DUMMYFUNCTION("""COMPUTED_VALUE"""),"Air Dry Clay")</f>
        <v>Air Dry Clay</v>
      </c>
      <c r="M3" s="3">
        <f ca="1">IFERROR(__xludf.DUMMYFUNCTION("""COMPUTED_VALUE"""),1)</f>
        <v>1</v>
      </c>
      <c r="N3" s="3">
        <f ca="1">IFERROR(__xludf.DUMMYFUNCTION("""COMPUTED_VALUE"""),1)</f>
        <v>1</v>
      </c>
      <c r="O3" s="3">
        <f ca="1">IFERROR(__xludf.DUMMYFUNCTION("""COMPUTED_VALUE"""),1)</f>
        <v>1</v>
      </c>
      <c r="P3" s="3" t="str">
        <f ca="1">IFERROR(__xludf.DUMMYFUNCTION("""COMPUTED_VALUE"""),"Pioneer")</f>
        <v>Pioneer</v>
      </c>
      <c r="Q3" s="3" t="str">
        <f ca="1">IFERROR(__xludf.DUMMYFUNCTION("""COMPUTED_VALUE"""),"OLA")</f>
        <v>OLA</v>
      </c>
      <c r="R3" s="3" t="str">
        <f ca="1">IFERROR(__xludf.DUMMYFUNCTION("""COMPUTED_VALUE"""),"Literacy Night")</f>
        <v>Literacy Night</v>
      </c>
      <c r="S3" s="3">
        <f ca="1">IFERROR(__xludf.DUMMYFUNCTION("""COMPUTED_VALUE"""),1)</f>
        <v>1</v>
      </c>
      <c r="T3" s="3" t="str">
        <f ca="1">IFERROR(__xludf.DUMMYFUNCTION("""COMPUTED_VALUE"""),"Eisenhower")</f>
        <v>Eisenhower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IFERROR(__xludf.DUMMYFUNCTION("""COMPUTED_VALUE"""),45527.5957579861)</f>
        <v>45527.595757986099</v>
      </c>
      <c r="B4" s="3" t="str">
        <f ca="1">IFERROR(__xludf.DUMMYFUNCTION("""COMPUTED_VALUE"""),"akordelis2@normanps.org")</f>
        <v>akordelis2@normanps.org</v>
      </c>
      <c r="C4" s="3">
        <f ca="1">IFERROR(__xludf.DUMMYFUNCTION("""COMPUTED_VALUE"""),1)</f>
        <v>1</v>
      </c>
      <c r="D4" s="3">
        <f ca="1">IFERROR(__xludf.DUMMYFUNCTION("""COMPUTED_VALUE"""),1)</f>
        <v>1</v>
      </c>
      <c r="E4" s="3">
        <f ca="1">IFERROR(__xludf.DUMMYFUNCTION("""COMPUTED_VALUE"""),1)</f>
        <v>1</v>
      </c>
      <c r="F4" s="6">
        <f ca="1">IFERROR(__xludf.DUMMYFUNCTION("""COMPUTED_VALUE"""),1)</f>
        <v>1</v>
      </c>
      <c r="G4" s="3">
        <f ca="1">IFERROR(__xludf.DUMMYFUNCTION("""COMPUTED_VALUE"""),1)</f>
        <v>1</v>
      </c>
      <c r="H4" s="3">
        <f ca="1">IFERROR(__xludf.DUMMYFUNCTION("""COMPUTED_VALUE"""),1)</f>
        <v>1</v>
      </c>
      <c r="I4" s="3" t="str">
        <f ca="1">IFERROR(__xludf.DUMMYFUNCTION("""COMPUTED_VALUE"""),"Inquire")</f>
        <v>Inquire</v>
      </c>
      <c r="J4" s="3" t="str">
        <f ca="1">IFERROR(__xludf.DUMMYFUNCTION("""COMPUTED_VALUE"""),"ELA")</f>
        <v>ELA</v>
      </c>
      <c r="K4" s="3" t="str">
        <f ca="1">IFERROR(__xludf.DUMMYFUNCTION("""COMPUTED_VALUE"""),"Prek")</f>
        <v>Prek</v>
      </c>
      <c r="L4" s="3" t="str">
        <f ca="1">IFERROR(__xludf.DUMMYFUNCTION("""COMPUTED_VALUE"""),"Air Dry Clay")</f>
        <v>Air Dry Clay</v>
      </c>
      <c r="M4" s="3">
        <f ca="1">IFERROR(__xludf.DUMMYFUNCTION("""COMPUTED_VALUE"""),1)</f>
        <v>1</v>
      </c>
      <c r="N4" s="3">
        <f ca="1">IFERROR(__xludf.DUMMYFUNCTION("""COMPUTED_VALUE"""),1)</f>
        <v>1</v>
      </c>
      <c r="O4" s="3">
        <f ca="1">IFERROR(__xludf.DUMMYFUNCTION("""COMPUTED_VALUE"""),1)</f>
        <v>1</v>
      </c>
      <c r="P4" s="3" t="str">
        <f ca="1">IFERROR(__xludf.DUMMYFUNCTION("""COMPUTED_VALUE"""),"Pioneer")</f>
        <v>Pioneer</v>
      </c>
      <c r="Q4" s="3" t="str">
        <f ca="1">IFERROR(__xludf.DUMMYFUNCTION("""COMPUTED_VALUE"""),"OLA")</f>
        <v>OLA</v>
      </c>
      <c r="R4" s="3" t="str">
        <f ca="1">IFERROR(__xludf.DUMMYFUNCTION("""COMPUTED_VALUE"""),"Literacy Night")</f>
        <v>Literacy Night</v>
      </c>
      <c r="S4" s="3">
        <f ca="1">IFERROR(__xludf.DUMMYFUNCTION("""COMPUTED_VALUE"""),1)</f>
        <v>1</v>
      </c>
      <c r="T4" s="3" t="str">
        <f ca="1">IFERROR(__xludf.DUMMYFUNCTION("""COMPUTED_VALUE"""),"Eisenhower")</f>
        <v>Eisenhower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IFERROR(__xludf.DUMMYFUNCTION("""COMPUTED_VALUE"""),45538.4145042129)</f>
        <v>45538.414504212902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IFERROR(__xludf.DUMMYFUNCTION("""COMPUTED_VALUE"""),981)</f>
        <v>981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IFERROR(__xludf.DUMMYFUNCTION("""COMPUTED_VALUE"""),17)</f>
        <v>17</v>
      </c>
      <c r="O5" s="3">
        <f ca="1">IFERROR(__xludf.DUMMYFUNCTION("""COMPUTED_VALUE"""),0)</f>
        <v>0</v>
      </c>
      <c r="P5" s="3"/>
      <c r="Q5" s="3"/>
      <c r="R5" s="3"/>
      <c r="S5" s="3"/>
      <c r="T5" s="3" t="str">
        <f ca="1">IFERROR(__xludf.DUMMYFUNCTION("""COMPUTED_VALUE"""),"Eisenhower")</f>
        <v>Eisenhower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IFERROR(__xludf.DUMMYFUNCTION("""COMPUTED_VALUE"""),45573.4138210532)</f>
        <v>45573.413821053196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IFERROR(__xludf.DUMMYFUNCTION("""COMPUTED_VALUE"""),2474)</f>
        <v>2474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IFERROR(__xludf.DUMMYFUNCTION("""COMPUTED_VALUE"""),142)</f>
        <v>142</v>
      </c>
      <c r="O6" s="3"/>
      <c r="P6" s="3"/>
      <c r="Q6" s="3"/>
      <c r="R6" s="3"/>
      <c r="S6" s="3"/>
      <c r="T6" s="3" t="str">
        <f ca="1">IFERROR(__xludf.DUMMYFUNCTION("""COMPUTED_VALUE"""),"Eisenhower")</f>
        <v>Eisenhower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IFERROR(__xludf.DUMMYFUNCTION("""COMPUTED_VALUE"""),45644.5301813888)</f>
        <v>45644.5301813888</v>
      </c>
      <c r="B7" s="3" t="str">
        <f ca="1">IFERROR(__xludf.DUMMYFUNCTION("""COMPUTED_VALUE"""),"sschrank@normanps.org")</f>
        <v>sschrank@normanps.org</v>
      </c>
      <c r="C7" s="3">
        <f ca="1">IFERROR(__xludf.DUMMYFUNCTION("""COMPUTED_VALUE"""),3607)</f>
        <v>3607</v>
      </c>
      <c r="D7" s="3"/>
      <c r="E7" s="3"/>
      <c r="F7" s="6"/>
      <c r="G7" s="3"/>
      <c r="H7" s="3"/>
      <c r="I7" s="3"/>
      <c r="J7" s="3"/>
      <c r="K7" s="3"/>
      <c r="L7" s="3"/>
      <c r="M7" s="3"/>
      <c r="N7" s="3">
        <f ca="1">IFERROR(__xludf.DUMMYFUNCTION("""COMPUTED_VALUE"""),327)</f>
        <v>327</v>
      </c>
      <c r="O7" s="3"/>
      <c r="P7" s="3"/>
      <c r="Q7" s="3"/>
      <c r="R7" s="3"/>
      <c r="S7" s="3"/>
      <c r="T7" s="3" t="str">
        <f ca="1">IFERROR(__xludf.DUMMYFUNCTION("""COMPUTED_VALUE"""),"Eisenhower")</f>
        <v>Eisenhower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IFERROR(__xludf.DUMMYFUNCTION("""COMPUTED_VALUE"""),45667.3838804976)</f>
        <v>45667.383880497597</v>
      </c>
      <c r="B8" s="3" t="str">
        <f ca="1">IFERROR(__xludf.DUMMYFUNCTION("""COMPUTED_VALUE"""),"juliek@normanps.org")</f>
        <v>juliek@normanps.org</v>
      </c>
      <c r="C8" s="3"/>
      <c r="D8" s="3">
        <f ca="1">IFERROR(__xludf.DUMMYFUNCTION("""COMPUTED_VALUE"""),26)</f>
        <v>26</v>
      </c>
      <c r="E8" s="3"/>
      <c r="F8" s="6">
        <f ca="1">IFERROR(__xludf.DUMMYFUNCTION("""COMPUTED_VALUE"""),2600)</f>
        <v>2600</v>
      </c>
      <c r="G8" s="3">
        <f ca="1">IFERROR(__xludf.DUMMYFUNCTION("""COMPUTED_VALUE"""),50)</f>
        <v>50</v>
      </c>
      <c r="H8" s="3">
        <f ca="1">IFERROR(__xludf.DUMMYFUNCTION("""COMPUTED_VALUE"""),10)</f>
        <v>10</v>
      </c>
      <c r="I8" s="3" t="str">
        <f ca="1">IFERROR(__xludf.DUMMYFUNCTION("""COMPUTED_VALUE"""),"Inquire")</f>
        <v>Inquire</v>
      </c>
      <c r="J8" s="3" t="str">
        <f ca="1">IFERROR(__xludf.DUMMYFUNCTION("""COMPUTED_VALUE"""),"Social Studies")</f>
        <v>Social Studies</v>
      </c>
      <c r="K8" s="3" t="str">
        <f ca="1">IFERROR(__xludf.DUMMYFUNCTION("""COMPUTED_VALUE"""),"Second")</f>
        <v>Second</v>
      </c>
      <c r="L8" s="3" t="str">
        <f ca="1">IFERROR(__xludf.DUMMYFUNCTION("""COMPUTED_VALUE"""),"Legos")</f>
        <v>Legos</v>
      </c>
      <c r="M8" s="3"/>
      <c r="N8" s="3"/>
      <c r="O8" s="3"/>
      <c r="P8" s="3" t="str">
        <f ca="1">IFERROR(__xludf.DUMMYFUNCTION("""COMPUTED_VALUE"""),"Texas Women's University, Project Look Sharp, other NPS librarians")</f>
        <v>Texas Women's University, Project Look Sharp, other NPS librarians</v>
      </c>
      <c r="Q8" s="3" t="str">
        <f ca="1">IFERROR(__xludf.DUMMYFUNCTION("""COMPUTED_VALUE"""),"Sequoyah Reading Team (education consultant), Norman Public Schools Climate and Culture Committee")</f>
        <v>Sequoyah Reading Team (education consultant), Norman Public Schools Climate and Culture Committee</v>
      </c>
      <c r="R8" s="3" t="str">
        <f ca="1">IFERROR(__xludf.DUMMYFUNCTION("""COMPUTED_VALUE"""),"Family Engagement Night")</f>
        <v>Family Engagement Night</v>
      </c>
      <c r="S8" s="3">
        <f ca="1">IFERROR(__xludf.DUMMYFUNCTION("""COMPUTED_VALUE"""),4)</f>
        <v>4</v>
      </c>
      <c r="T8" s="3" t="str">
        <f ca="1">IFERROR(__xludf.DUMMYFUNCTION("""COMPUTED_VALUE"""),"Eisenhower")</f>
        <v>Eisenhower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IFERROR(__xludf.DUMMYFUNCTION("""COMPUTED_VALUE"""),45667.3844303009)</f>
        <v>45667.384430300903</v>
      </c>
      <c r="B9" s="3" t="str">
        <f ca="1">IFERROR(__xludf.DUMMYFUNCTION("""COMPUTED_VALUE"""),"juliek@normanps.org")</f>
        <v>juliek@normanps.org</v>
      </c>
      <c r="C9" s="3"/>
      <c r="D9" s="3">
        <f ca="1">IFERROR(__xludf.DUMMYFUNCTION("""COMPUTED_VALUE"""),4)</f>
        <v>4</v>
      </c>
      <c r="E9" s="3"/>
      <c r="F9" s="6"/>
      <c r="G9" s="3"/>
      <c r="H9" s="3"/>
      <c r="I9" s="3" t="str">
        <f ca="1">IFERROR(__xludf.DUMMYFUNCTION("""COMPUTED_VALUE"""),"Engage")</f>
        <v>Engage</v>
      </c>
      <c r="J9" s="3" t="str">
        <f ca="1">IFERROR(__xludf.DUMMYFUNCTION("""COMPUTED_VALUE"""),"ELA")</f>
        <v>ELA</v>
      </c>
      <c r="K9" s="3" t="str">
        <f ca="1">IFERROR(__xludf.DUMMYFUNCTION("""COMPUTED_VALUE"""),"Fourth")</f>
        <v>Fourth</v>
      </c>
      <c r="L9" s="3"/>
      <c r="M9" s="3"/>
      <c r="N9" s="3"/>
      <c r="O9" s="3"/>
      <c r="P9" s="3"/>
      <c r="Q9" s="3"/>
      <c r="R9" s="3" t="str">
        <f ca="1">IFERROR(__xludf.DUMMYFUNCTION("""COMPUTED_VALUE"""),"4th Grade Sequoyah Lunch Bunch")</f>
        <v>4th Grade Sequoyah Lunch Bunch</v>
      </c>
      <c r="S9" s="3"/>
      <c r="T9" s="3" t="str">
        <f ca="1">IFERROR(__xludf.DUMMYFUNCTION("""COMPUTED_VALUE"""),"Eisenhower")</f>
        <v>Eisenhower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IFERROR(__xludf.DUMMYFUNCTION("""COMPUTED_VALUE"""),45667.3852731944)</f>
        <v>45667.385273194399</v>
      </c>
      <c r="B10" s="3" t="str">
        <f ca="1">IFERROR(__xludf.DUMMYFUNCTION("""COMPUTED_VALUE"""),"juliek@normanps.org")</f>
        <v>juliek@normanps.org</v>
      </c>
      <c r="C10" s="3"/>
      <c r="D10" s="3">
        <f ca="1">IFERROR(__xludf.DUMMYFUNCTION("""COMPUTED_VALUE"""),12)</f>
        <v>12</v>
      </c>
      <c r="E10" s="3"/>
      <c r="F10" s="6"/>
      <c r="G10" s="3"/>
      <c r="H10" s="3"/>
      <c r="I10" s="3" t="str">
        <f ca="1">IFERROR(__xludf.DUMMYFUNCTION("""COMPUTED_VALUE"""),"Explore")</f>
        <v>Explore</v>
      </c>
      <c r="J10" s="3" t="str">
        <f ca="1">IFERROR(__xludf.DUMMYFUNCTION("""COMPUTED_VALUE"""),"Science")</f>
        <v>Science</v>
      </c>
      <c r="K10" s="3" t="str">
        <f ca="1">IFERROR(__xludf.DUMMYFUNCTION("""COMPUTED_VALUE"""),"Third")</f>
        <v>Third</v>
      </c>
      <c r="L10" s="3"/>
      <c r="M10" s="3"/>
      <c r="N10" s="3"/>
      <c r="O10" s="3"/>
      <c r="P10" s="3" t="str">
        <f ca="1">IFERROR(__xludf.DUMMYFUNCTION("""COMPUTED_VALUE"""),"Pioneer Library System")</f>
        <v>Pioneer Library System</v>
      </c>
      <c r="Q10" s="3"/>
      <c r="R10" s="3" t="str">
        <f ca="1">IFERROR(__xludf.DUMMYFUNCTION("""COMPUTED_VALUE"""),"Library outreach STEAM challenges")</f>
        <v>Library outreach STEAM challenges</v>
      </c>
      <c r="S10" s="3"/>
      <c r="T10" s="3" t="str">
        <f ca="1">IFERROR(__xludf.DUMMYFUNCTION("""COMPUTED_VALUE"""),"Eisenhower")</f>
        <v>Eisenhower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IFERROR(__xludf.DUMMYFUNCTION("""COMPUTED_VALUE"""),45672.3300768287)</f>
        <v>45672.330076828701</v>
      </c>
      <c r="B11" s="3" t="str">
        <f ca="1">IFERROR(__xludf.DUMMYFUNCTION("""COMPUTED_VALUE"""),"sschrank@normanps.org")</f>
        <v>sschrank@normanps.org</v>
      </c>
      <c r="C11" s="3">
        <f ca="1">IFERROR(__xludf.DUMMYFUNCTION("""COMPUTED_VALUE"""),1463)</f>
        <v>1463</v>
      </c>
      <c r="D11" s="3"/>
      <c r="E11" s="3"/>
      <c r="F11" s="6"/>
      <c r="G11" s="3"/>
      <c r="H11" s="3"/>
      <c r="I11" s="3"/>
      <c r="J11" s="3"/>
      <c r="K11" s="3"/>
      <c r="L11" s="3"/>
      <c r="M11" s="3"/>
      <c r="N11" s="3">
        <f ca="1">IFERROR(__xludf.DUMMYFUNCTION("""COMPUTED_VALUE"""),193)</f>
        <v>193</v>
      </c>
      <c r="O11" s="3"/>
      <c r="P11" s="3"/>
      <c r="Q11" s="3"/>
      <c r="R11" s="3"/>
      <c r="S11" s="3"/>
      <c r="T11" s="3" t="str">
        <f ca="1">IFERROR(__xludf.DUMMYFUNCTION("""COMPUTED_VALUE"""),"Eisenhower")</f>
        <v>Eisenhower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IFERROR(__xludf.DUMMYFUNCTION("""COMPUTED_VALUE"""),45672.6352345601)</f>
        <v>45672.635234560097</v>
      </c>
      <c r="B12" s="3" t="str">
        <f ca="1">IFERROR(__xludf.DUMMYFUNCTION("""COMPUTED_VALUE"""),"juliek@normanps.org")</f>
        <v>juliek@normanps.org</v>
      </c>
      <c r="C12" s="3"/>
      <c r="D12" s="3">
        <f ca="1">IFERROR(__xludf.DUMMYFUNCTION("""COMPUTED_VALUE"""),4)</f>
        <v>4</v>
      </c>
      <c r="E12" s="3"/>
      <c r="F12" s="6"/>
      <c r="G12" s="3"/>
      <c r="H12" s="3"/>
      <c r="I12" s="3" t="str">
        <f ca="1">IFERROR(__xludf.DUMMYFUNCTION("""COMPUTED_VALUE"""),"Engage")</f>
        <v>Engage</v>
      </c>
      <c r="J12" s="3" t="str">
        <f ca="1">IFERROR(__xludf.DUMMYFUNCTION("""COMPUTED_VALUE"""),"ELA")</f>
        <v>ELA</v>
      </c>
      <c r="K12" s="3" t="str">
        <f ca="1">IFERROR(__xludf.DUMMYFUNCTION("""COMPUTED_VALUE"""),"Fifth")</f>
        <v>Fifth</v>
      </c>
      <c r="L12" s="3"/>
      <c r="M12" s="3"/>
      <c r="N12" s="3"/>
      <c r="O12" s="3"/>
      <c r="P12" s="3"/>
      <c r="Q12" s="3"/>
      <c r="R12" s="3" t="str">
        <f ca="1">IFERROR(__xludf.DUMMYFUNCTION("""COMPUTED_VALUE"""),"Sequoyah Read Around")</f>
        <v>Sequoyah Read Around</v>
      </c>
      <c r="S12" s="3"/>
      <c r="T12" s="3" t="str">
        <f ca="1">IFERROR(__xludf.DUMMYFUNCTION("""COMPUTED_VALUE"""),"Eisenhower")</f>
        <v>Eisenhower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IFERROR(__xludf.DUMMYFUNCTION("""COMPUTED_VALUE"""),45672.6359492361)</f>
        <v>45672.635949236101</v>
      </c>
      <c r="B13" s="3" t="str">
        <f ca="1">IFERROR(__xludf.DUMMYFUNCTION("""COMPUTED_VALUE"""),"juliek@normanps.org")</f>
        <v>juliek@normanps.org</v>
      </c>
      <c r="C13" s="3"/>
      <c r="D13" s="3">
        <f ca="1">IFERROR(__xludf.DUMMYFUNCTION("""COMPUTED_VALUE"""),4)</f>
        <v>4</v>
      </c>
      <c r="E13" s="3"/>
      <c r="F13" s="6"/>
      <c r="G13" s="3"/>
      <c r="H13" s="3"/>
      <c r="I13" s="3" t="str">
        <f ca="1">IFERROR(__xludf.DUMMYFUNCTION("""COMPUTED_VALUE"""),"Explore")</f>
        <v>Explore</v>
      </c>
      <c r="J13" s="3" t="str">
        <f ca="1">IFERROR(__xludf.DUMMYFUNCTION("""COMPUTED_VALUE"""),"Social Studies")</f>
        <v>Social Studies</v>
      </c>
      <c r="K13" s="3" t="str">
        <f ca="1">IFERROR(__xludf.DUMMYFUNCTION("""COMPUTED_VALUE"""),"Second")</f>
        <v>Second</v>
      </c>
      <c r="L13" s="3"/>
      <c r="M13" s="3"/>
      <c r="N13" s="3"/>
      <c r="O13" s="3"/>
      <c r="P13" s="3"/>
      <c r="Q13" s="3"/>
      <c r="R13" s="3"/>
      <c r="S13" s="3">
        <f ca="1">IFERROR(__xludf.DUMMYFUNCTION("""COMPUTED_VALUE"""),1)</f>
        <v>1</v>
      </c>
      <c r="T13" s="3" t="str">
        <f ca="1">IFERROR(__xludf.DUMMYFUNCTION("""COMPUTED_VALUE"""),"Eisenhower")</f>
        <v>Eisenhower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IFERROR(__xludf.DUMMYFUNCTION("""COMPUTED_VALUE"""),45672.6373032754)</f>
        <v>45672.637303275398</v>
      </c>
      <c r="B14" s="3" t="str">
        <f ca="1">IFERROR(__xludf.DUMMYFUNCTION("""COMPUTED_VALUE"""),"juliek@normanps.org")</f>
        <v>juliek@normanps.org</v>
      </c>
      <c r="C14" s="3"/>
      <c r="D14" s="3"/>
      <c r="E14" s="3"/>
      <c r="F14" s="6"/>
      <c r="G14" s="3"/>
      <c r="H14" s="3"/>
      <c r="I14" s="3" t="str">
        <f ca="1">IFERROR(__xludf.DUMMYFUNCTION("""COMPUTED_VALUE"""),"Include")</f>
        <v>Include</v>
      </c>
      <c r="J14" s="3"/>
      <c r="K14" s="3"/>
      <c r="L14" s="3"/>
      <c r="M14" s="3"/>
      <c r="N14" s="3"/>
      <c r="O14" s="3"/>
      <c r="P14" s="3"/>
      <c r="Q14" s="3" t="str">
        <f ca="1">IFERROR(__xludf.DUMMYFUNCTION("""COMPUTED_VALUE"""),"Climate and Culture Committee, Norman Public Schools")</f>
        <v>Climate and Culture Committee, Norman Public Schools</v>
      </c>
      <c r="R14" s="3"/>
      <c r="S14" s="3"/>
      <c r="T14" s="3" t="str">
        <f ca="1">IFERROR(__xludf.DUMMYFUNCTION("""COMPUTED_VALUE"""),"Eisenhower")</f>
        <v>Eisenhower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IFERROR(__xludf.DUMMYFUNCTION("""COMPUTED_VALUE"""),45693.4801826504)</f>
        <v>45693.480182650397</v>
      </c>
      <c r="B15" s="3" t="str">
        <f ca="1">IFERROR(__xludf.DUMMYFUNCTION("""COMPUTED_VALUE"""),"sschrank@normanps.org")</f>
        <v>sschrank@normanps.org</v>
      </c>
      <c r="C15" s="3">
        <f ca="1">IFERROR(__xludf.DUMMYFUNCTION("""COMPUTED_VALUE"""),1817)</f>
        <v>1817</v>
      </c>
      <c r="D15" s="3"/>
      <c r="E15" s="3"/>
      <c r="F15" s="6"/>
      <c r="G15" s="3"/>
      <c r="H15" s="3"/>
      <c r="I15" s="3"/>
      <c r="J15" s="3"/>
      <c r="K15" s="3"/>
      <c r="L15" s="3"/>
      <c r="M15" s="3"/>
      <c r="N15" s="3">
        <f ca="1">IFERROR(__xludf.DUMMYFUNCTION("""COMPUTED_VALUE"""),338)</f>
        <v>338</v>
      </c>
      <c r="O15" s="3"/>
      <c r="P15" s="3"/>
      <c r="Q15" s="3"/>
      <c r="R15" s="3"/>
      <c r="S15" s="3"/>
      <c r="T15" s="3" t="str">
        <f ca="1">IFERROR(__xludf.DUMMYFUNCTION("""COMPUTED_VALUE"""),"Eisenhower")</f>
        <v>Eisenhower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IFERROR(__xludf.DUMMYFUNCTION("""COMPUTED_VALUE"""),45726.5999434027)</f>
        <v>45726.599943402704</v>
      </c>
      <c r="B16" s="3" t="str">
        <f ca="1">IFERROR(__xludf.DUMMYFUNCTION("""COMPUTED_VALUE"""),"juliek@normanps.org")</f>
        <v>juliek@normanps.org</v>
      </c>
      <c r="C16" s="3"/>
      <c r="D16" s="3">
        <f ca="1">IFERROR(__xludf.DUMMYFUNCTION("""COMPUTED_VALUE"""),8)</f>
        <v>8</v>
      </c>
      <c r="E16" s="3"/>
      <c r="F16" s="6"/>
      <c r="G16" s="3"/>
      <c r="H16" s="3"/>
      <c r="I16" s="3" t="str">
        <f ca="1">IFERROR(__xludf.DUMMYFUNCTION("""COMPUTED_VALUE"""),"Engage")</f>
        <v>Engage</v>
      </c>
      <c r="J16" s="3" t="str">
        <f ca="1">IFERROR(__xludf.DUMMYFUNCTION("""COMPUTED_VALUE"""),"Art")</f>
        <v>Art</v>
      </c>
      <c r="K16" s="3" t="str">
        <f ca="1">IFERROR(__xludf.DUMMYFUNCTION("""COMPUTED_VALUE"""),"First")</f>
        <v>First</v>
      </c>
      <c r="L16" s="3"/>
      <c r="M16" s="3"/>
      <c r="N16" s="3"/>
      <c r="O16" s="3"/>
      <c r="P16" s="3" t="str">
        <f ca="1">IFERROR(__xludf.DUMMYFUNCTION("""COMPUTED_VALUE"""),"Latinx Kid Lit Book Festival")</f>
        <v>Latinx Kid Lit Book Festival</v>
      </c>
      <c r="Q16" s="3"/>
      <c r="R16" s="3" t="str">
        <f ca="1">IFERROR(__xludf.DUMMYFUNCTION("""COMPUTED_VALUE"""),"Author/illustrator visit")</f>
        <v>Author/illustrator visit</v>
      </c>
      <c r="S16" s="3"/>
      <c r="T16" s="3" t="str">
        <f ca="1">IFERROR(__xludf.DUMMYFUNCTION("""COMPUTED_VALUE"""),"Eisenhower")</f>
        <v>Eisenhower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IFERROR(__xludf.DUMMYFUNCTION("""COMPUTED_VALUE"""),45726.6006158449)</f>
        <v>45726.600615844902</v>
      </c>
      <c r="B17" s="3" t="str">
        <f ca="1">IFERROR(__xludf.DUMMYFUNCTION("""COMPUTED_VALUE"""),"juliek@normanps.org")</f>
        <v>juliek@normanps.org</v>
      </c>
      <c r="C17" s="3"/>
      <c r="D17" s="3">
        <f ca="1">IFERROR(__xludf.DUMMYFUNCTION("""COMPUTED_VALUE"""),4)</f>
        <v>4</v>
      </c>
      <c r="E17" s="3"/>
      <c r="F17" s="6"/>
      <c r="G17" s="3"/>
      <c r="H17" s="3"/>
      <c r="I17" s="3" t="str">
        <f ca="1">IFERROR(__xludf.DUMMYFUNCTION("""COMPUTED_VALUE"""),"Engage")</f>
        <v>Engage</v>
      </c>
      <c r="J17" s="3" t="str">
        <f ca="1">IFERROR(__xludf.DUMMYFUNCTION("""COMPUTED_VALUE"""),"Art")</f>
        <v>Art</v>
      </c>
      <c r="K17" s="3" t="str">
        <f ca="1">IFERROR(__xludf.DUMMYFUNCTION("""COMPUTED_VALUE"""),"Second")</f>
        <v>Second</v>
      </c>
      <c r="L17" s="3"/>
      <c r="M17" s="3"/>
      <c r="N17" s="3"/>
      <c r="O17" s="3"/>
      <c r="P17" s="3" t="str">
        <f ca="1">IFERROR(__xludf.DUMMYFUNCTION("""COMPUTED_VALUE"""),"Latinx Kid Lit Book Festival")</f>
        <v>Latinx Kid Lit Book Festival</v>
      </c>
      <c r="Q17" s="3"/>
      <c r="R17" s="3" t="str">
        <f ca="1">IFERROR(__xludf.DUMMYFUNCTION("""COMPUTED_VALUE"""),"author visit")</f>
        <v>author visit</v>
      </c>
      <c r="S17" s="3"/>
      <c r="T17" s="3" t="str">
        <f ca="1">IFERROR(__xludf.DUMMYFUNCTION("""COMPUTED_VALUE"""),"Eisenhower")</f>
        <v>Eisenhower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IFERROR(__xludf.DUMMYFUNCTION("""COMPUTED_VALUE"""),45726.6015677662)</f>
        <v>45726.6015677662</v>
      </c>
      <c r="B18" s="3" t="str">
        <f ca="1">IFERROR(__xludf.DUMMYFUNCTION("""COMPUTED_VALUE"""),"juliek@normanps.org")</f>
        <v>juliek@normanps.org</v>
      </c>
      <c r="C18" s="3"/>
      <c r="D18" s="3">
        <f ca="1">IFERROR(__xludf.DUMMYFUNCTION("""COMPUTED_VALUE"""),4)</f>
        <v>4</v>
      </c>
      <c r="E18" s="3"/>
      <c r="F18" s="6"/>
      <c r="G18" s="3"/>
      <c r="H18" s="3"/>
      <c r="I18" s="3" t="str">
        <f ca="1">IFERROR(__xludf.DUMMYFUNCTION("""COMPUTED_VALUE"""),"Curate")</f>
        <v>Curate</v>
      </c>
      <c r="J18" s="3" t="str">
        <f ca="1">IFERROR(__xludf.DUMMYFUNCTION("""COMPUTED_VALUE"""),"Social Studies")</f>
        <v>Social Studies</v>
      </c>
      <c r="K18" s="3" t="str">
        <f ca="1">IFERROR(__xludf.DUMMYFUNCTION("""COMPUTED_VALUE"""),"Second")</f>
        <v>Second</v>
      </c>
      <c r="L18" s="3"/>
      <c r="M18" s="3"/>
      <c r="N18" s="3"/>
      <c r="O18" s="3"/>
      <c r="P18" s="3"/>
      <c r="Q18" s="3"/>
      <c r="R18" s="3"/>
      <c r="S18" s="3">
        <f ca="1">IFERROR(__xludf.DUMMYFUNCTION("""COMPUTED_VALUE"""),1)</f>
        <v>1</v>
      </c>
      <c r="T18" s="3" t="str">
        <f ca="1">IFERROR(__xludf.DUMMYFUNCTION("""COMPUTED_VALUE"""),"Eisenhower")</f>
        <v>Eisenhower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IFERROR(__xludf.DUMMYFUNCTION("""COMPUTED_VALUE"""),45726.6019135416)</f>
        <v>45726.601913541599</v>
      </c>
      <c r="B19" s="3" t="str">
        <f ca="1">IFERROR(__xludf.DUMMYFUNCTION("""COMPUTED_VALUE"""),"juliek@normanps.org")</f>
        <v>juliek@normanps.org</v>
      </c>
      <c r="C19" s="3"/>
      <c r="D19" s="3">
        <f ca="1">IFERROR(__xludf.DUMMYFUNCTION("""COMPUTED_VALUE"""),4)</f>
        <v>4</v>
      </c>
      <c r="E19" s="3"/>
      <c r="F19" s="6"/>
      <c r="G19" s="3"/>
      <c r="H19" s="3"/>
      <c r="I19" s="3" t="str">
        <f ca="1">IFERROR(__xludf.DUMMYFUNCTION("""COMPUTED_VALUE"""),"Curate")</f>
        <v>Curate</v>
      </c>
      <c r="J19" s="3" t="str">
        <f ca="1">IFERROR(__xludf.DUMMYFUNCTION("""COMPUTED_VALUE"""),"Social Studies")</f>
        <v>Social Studies</v>
      </c>
      <c r="K19" s="3" t="str">
        <f ca="1">IFERROR(__xludf.DUMMYFUNCTION("""COMPUTED_VALUE"""),"Third")</f>
        <v>Third</v>
      </c>
      <c r="L19" s="3"/>
      <c r="M19" s="3"/>
      <c r="N19" s="3"/>
      <c r="O19" s="3"/>
      <c r="P19" s="3"/>
      <c r="Q19" s="3"/>
      <c r="R19" s="3"/>
      <c r="S19" s="3">
        <f ca="1">IFERROR(__xludf.DUMMYFUNCTION("""COMPUTED_VALUE"""),1)</f>
        <v>1</v>
      </c>
      <c r="T19" s="3" t="str">
        <f ca="1">IFERROR(__xludf.DUMMYFUNCTION("""COMPUTED_VALUE"""),"Eisenhower")</f>
        <v>Eisenhower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IFERROR(__xludf.DUMMYFUNCTION("""COMPUTED_VALUE"""),45726.6036967245)</f>
        <v>45726.603696724502</v>
      </c>
      <c r="B20" s="3" t="str">
        <f ca="1">IFERROR(__xludf.DUMMYFUNCTION("""COMPUTED_VALUE"""),"juliek@normanps.org")</f>
        <v>juliek@normanps.org</v>
      </c>
      <c r="C20" s="3"/>
      <c r="D20" s="3">
        <f ca="1">IFERROR(__xludf.DUMMYFUNCTION("""COMPUTED_VALUE"""),12)</f>
        <v>12</v>
      </c>
      <c r="E20" s="3"/>
      <c r="F20" s="6">
        <f ca="1">IFERROR(__xludf.DUMMYFUNCTION("""COMPUTED_VALUE"""),7590.45)</f>
        <v>7590.45</v>
      </c>
      <c r="G20" s="3"/>
      <c r="H20" s="3"/>
      <c r="I20" s="3" t="str">
        <f ca="1">IFERROR(__xludf.DUMMYFUNCTION("""COMPUTED_VALUE"""),"Curate")</f>
        <v>Curate</v>
      </c>
      <c r="J20" s="3" t="str">
        <f ca="1">IFERROR(__xludf.DUMMYFUNCTION("""COMPUTED_VALUE"""),"ELA")</f>
        <v>ELA</v>
      </c>
      <c r="K20" s="3" t="str">
        <f ca="1">IFERROR(__xludf.DUMMYFUNCTION("""COMPUTED_VALUE"""),"Fifth")</f>
        <v>Fifth</v>
      </c>
      <c r="L20" s="3"/>
      <c r="M20" s="3">
        <f ca="1">IFERROR(__xludf.DUMMYFUNCTION("""COMPUTED_VALUE"""),432)</f>
        <v>432</v>
      </c>
      <c r="N20" s="3"/>
      <c r="O20" s="3"/>
      <c r="P20" s="3" t="str">
        <f ca="1">IFERROR(__xludf.DUMMYFUNCTION("""COMPUTED_VALUE"""),"Oklahoma Library Association")</f>
        <v>Oklahoma Library Association</v>
      </c>
      <c r="Q20" s="3" t="str">
        <f ca="1">IFERROR(__xludf.DUMMYFUNCTION("""COMPUTED_VALUE"""),"Sequoyah children's reading team")</f>
        <v>Sequoyah children's reading team</v>
      </c>
      <c r="R20" s="3"/>
      <c r="S20" s="3"/>
      <c r="T20" s="3" t="str">
        <f ca="1">IFERROR(__xludf.DUMMYFUNCTION("""COMPUTED_VALUE"""),"Eisenhower")</f>
        <v>Eisenhower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IFERROR(__xludf.DUMMYFUNCTION("""COMPUTED_VALUE"""),45726.6047790162)</f>
        <v>45726.604779016197</v>
      </c>
      <c r="B21" s="3" t="str">
        <f ca="1">IFERROR(__xludf.DUMMYFUNCTION("""COMPUTED_VALUE"""),"juliek@normanps.org")</f>
        <v>juliek@normanps.org</v>
      </c>
      <c r="C21" s="3"/>
      <c r="D21" s="3"/>
      <c r="E21" s="3"/>
      <c r="F21" s="6"/>
      <c r="G21" s="3"/>
      <c r="H21" s="3"/>
      <c r="I21" s="3" t="str">
        <f ca="1">IFERROR(__xludf.DUMMYFUNCTION("""COMPUTED_VALUE"""),"Include")</f>
        <v>Include</v>
      </c>
      <c r="J21" s="3" t="str">
        <f ca="1">IFERROR(__xludf.DUMMYFUNCTION("""COMPUTED_VALUE"""),"Social Studies")</f>
        <v>Social Studies</v>
      </c>
      <c r="K21" s="3" t="str">
        <f ca="1">IFERROR(__xludf.DUMMYFUNCTION("""COMPUTED_VALUE"""),"Elementary multi-grade class")</f>
        <v>Elementary multi-grade class</v>
      </c>
      <c r="L21" s="3"/>
      <c r="M21" s="3"/>
      <c r="N21" s="3"/>
      <c r="O21" s="3"/>
      <c r="P21" s="3" t="str">
        <f ca="1">IFERROR(__xludf.DUMMYFUNCTION("""COMPUTED_VALUE"""),"Oklahoma Library Association")</f>
        <v>Oklahoma Library Association</v>
      </c>
      <c r="Q21" s="3" t="str">
        <f ca="1">IFERROR(__xludf.DUMMYFUNCTION("""COMPUTED_VALUE"""),"Presentation at the OLA state conference")</f>
        <v>Presentation at the OLA state conference</v>
      </c>
      <c r="R21" s="3"/>
      <c r="S21" s="3"/>
      <c r="T21" s="3" t="str">
        <f ca="1">IFERROR(__xludf.DUMMYFUNCTION("""COMPUTED_VALUE"""),"Eisenhower")</f>
        <v>Eisenhower</v>
      </c>
      <c r="U21" s="3"/>
      <c r="V21" s="3"/>
      <c r="W21" s="3"/>
      <c r="X21" s="3"/>
      <c r="Y21" s="3"/>
      <c r="Z21" s="3"/>
      <c r="AA21" s="3"/>
      <c r="AB21" s="3"/>
      <c r="AC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1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'Jackson'"",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IFERROR(__xludf.DUMMYFUNCTION("""COMPUTED_VALUE"""),45527.5961204398)</f>
        <v>45527.596120439797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IFERROR(__xludf.DUMMYFUNCTION("""COMPUTED_VALUE"""),"Jackson")</f>
        <v>Jackson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IFERROR(__xludf.DUMMYFUNCTION("""COMPUTED_VALUE"""),45538.4151048495)</f>
        <v>45538.415104849497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IFERROR(__xludf.DUMMYFUNCTION("""COMPUTED_VALUE"""),346)</f>
        <v>346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IFERROR(__xludf.DUMMYFUNCTION("""COMPUTED_VALUE"""),0)</f>
        <v>0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IFERROR(__xludf.DUMMYFUNCTION("""COMPUTED_VALUE"""),"Jackson")</f>
        <v>Jackson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IFERROR(__xludf.DUMMYFUNCTION("""COMPUTED_VALUE"""),45573.4142929513)</f>
        <v>45573.414292951296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IFERROR(__xludf.DUMMYFUNCTION("""COMPUTED_VALUE"""),1779)</f>
        <v>1779</v>
      </c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tr">
        <f ca="1">IFERROR(__xludf.DUMMYFUNCTION("""COMPUTED_VALUE"""),"Jackson")</f>
        <v>Jackson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IFERROR(__xludf.DUMMYFUNCTION("""COMPUTED_VALUE"""),45635.418188449)</f>
        <v>45635.418188449003</v>
      </c>
      <c r="B5" s="3" t="str">
        <f ca="1">IFERROR(__xludf.DUMMYFUNCTION("""COMPUTED_VALUE"""),"danap@normanps.org")</f>
        <v>danap@normanps.org</v>
      </c>
      <c r="C5" s="3"/>
      <c r="D5" s="3">
        <f ca="1">IFERROR(__xludf.DUMMYFUNCTION("""COMPUTED_VALUE"""),138)</f>
        <v>138</v>
      </c>
      <c r="E5" s="3"/>
      <c r="F5" s="6">
        <f ca="1">IFERROR(__xludf.DUMMYFUNCTION("""COMPUTED_VALUE"""),1500)</f>
        <v>1500</v>
      </c>
      <c r="G5" s="3">
        <f ca="1">IFERROR(__xludf.DUMMYFUNCTION("""COMPUTED_VALUE"""),10)</f>
        <v>10</v>
      </c>
      <c r="H5" s="3">
        <f ca="1">IFERROR(__xludf.DUMMYFUNCTION("""COMPUTED_VALUE"""),15)</f>
        <v>15</v>
      </c>
      <c r="I5" s="3" t="str">
        <f ca="1">IFERROR(__xludf.DUMMYFUNCTION("""COMPUTED_VALUE"""),"Inquire")</f>
        <v>Inquire</v>
      </c>
      <c r="J5" s="3" t="str">
        <f ca="1">IFERROR(__xludf.DUMMYFUNCTION("""COMPUTED_VALUE"""),"ELA")</f>
        <v>ELA</v>
      </c>
      <c r="K5" s="3" t="str">
        <f ca="1">IFERROR(__xludf.DUMMYFUNCTION("""COMPUTED_VALUE"""),"Prek")</f>
        <v>Prek</v>
      </c>
      <c r="L5" s="3" t="str">
        <f ca="1">IFERROR(__xludf.DUMMYFUNCTION("""COMPUTED_VALUE"""),"peg wall")</f>
        <v>peg wall</v>
      </c>
      <c r="M5" s="3">
        <f ca="1">IFERROR(__xludf.DUMMYFUNCTION("""COMPUTED_VALUE"""),10)</f>
        <v>10</v>
      </c>
      <c r="N5" s="3"/>
      <c r="O5" s="3"/>
      <c r="P5" s="3" t="str">
        <f ca="1">IFERROR(__xludf.DUMMYFUNCTION("""COMPUTED_VALUE"""),"4th and 5th grade Tinker Tuesday with Pioneer Library")</f>
        <v>4th and 5th grade Tinker Tuesday with Pioneer Library</v>
      </c>
      <c r="Q5" s="3" t="str">
        <f ca="1">IFERROR(__xludf.DUMMYFUNCTION("""COMPUTED_VALUE"""),"2")</f>
        <v>2</v>
      </c>
      <c r="R5" s="3" t="str">
        <f ca="1">IFERROR(__xludf.DUMMYFUNCTION("""COMPUTED_VALUE"""),"Book Fair")</f>
        <v>Book Fair</v>
      </c>
      <c r="S5" s="3">
        <f ca="1">IFERROR(__xludf.DUMMYFUNCTION("""COMPUTED_VALUE"""),3)</f>
        <v>3</v>
      </c>
      <c r="T5" s="3" t="str">
        <f ca="1">IFERROR(__xludf.DUMMYFUNCTION("""COMPUTED_VALUE"""),"Jackson")</f>
        <v>Jackson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IFERROR(__xludf.DUMMYFUNCTION("""COMPUTED_VALUE"""),45635.4191966319)</f>
        <v>45635.419196631898</v>
      </c>
      <c r="B6" s="3" t="str">
        <f ca="1">IFERROR(__xludf.DUMMYFUNCTION("""COMPUTED_VALUE"""),"danap@normanps.org")</f>
        <v>danap@normanps.org</v>
      </c>
      <c r="C6" s="3"/>
      <c r="D6" s="3"/>
      <c r="E6" s="3"/>
      <c r="F6" s="6"/>
      <c r="G6" s="3"/>
      <c r="H6" s="3"/>
      <c r="I6" s="3" t="str">
        <f ca="1">IFERROR(__xludf.DUMMYFUNCTION("""COMPUTED_VALUE"""),"Include")</f>
        <v>Include</v>
      </c>
      <c r="J6" s="3" t="str">
        <f ca="1">IFERROR(__xludf.DUMMYFUNCTION("""COMPUTED_VALUE"""),"Social Studies")</f>
        <v>Social Studies</v>
      </c>
      <c r="K6" s="3" t="str">
        <f ca="1">IFERROR(__xludf.DUMMYFUNCTION("""COMPUTED_VALUE"""),"Kindergarten")</f>
        <v>Kindergarten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IFERROR(__xludf.DUMMYFUNCTION("""COMPUTED_VALUE"""),"Jackson")</f>
        <v>Jackson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IFERROR(__xludf.DUMMYFUNCTION("""COMPUTED_VALUE"""),45635.419453912)</f>
        <v>45635.419453912</v>
      </c>
      <c r="B7" s="3" t="str">
        <f ca="1">IFERROR(__xludf.DUMMYFUNCTION("""COMPUTED_VALUE"""),"danap@normanps.org")</f>
        <v>danap@normanps.org</v>
      </c>
      <c r="C7" s="3"/>
      <c r="D7" s="3"/>
      <c r="E7" s="3"/>
      <c r="F7" s="6"/>
      <c r="G7" s="3"/>
      <c r="H7" s="3"/>
      <c r="I7" s="3"/>
      <c r="J7" s="3"/>
      <c r="K7" s="3" t="str">
        <f ca="1">IFERROR(__xludf.DUMMYFUNCTION("""COMPUTED_VALUE"""),"First")</f>
        <v>First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IFERROR(__xludf.DUMMYFUNCTION("""COMPUTED_VALUE"""),"Jackson")</f>
        <v>Jackson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IFERROR(__xludf.DUMMYFUNCTION("""COMPUTED_VALUE"""),45635.4196472801)</f>
        <v>45635.419647280098</v>
      </c>
      <c r="B8" s="3" t="str">
        <f ca="1">IFERROR(__xludf.DUMMYFUNCTION("""COMPUTED_VALUE"""),"danap@normanps.org")</f>
        <v>danap@normanps.org</v>
      </c>
      <c r="C8" s="3"/>
      <c r="D8" s="3"/>
      <c r="E8" s="3"/>
      <c r="F8" s="6"/>
      <c r="G8" s="3"/>
      <c r="H8" s="3"/>
      <c r="I8" s="3"/>
      <c r="J8" s="3"/>
      <c r="K8" s="3" t="str">
        <f ca="1">IFERROR(__xludf.DUMMYFUNCTION("""COMPUTED_VALUE"""),"Second")</f>
        <v>Second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IFERROR(__xludf.DUMMYFUNCTION("""COMPUTED_VALUE"""),"Jackson")</f>
        <v>Jackson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IFERROR(__xludf.DUMMYFUNCTION("""COMPUTED_VALUE"""),45635.4197785185)</f>
        <v>45635.419778518502</v>
      </c>
      <c r="B9" s="3" t="str">
        <f ca="1">IFERROR(__xludf.DUMMYFUNCTION("""COMPUTED_VALUE"""),"danap@normanps.org")</f>
        <v>danap@normanps.org</v>
      </c>
      <c r="C9" s="3"/>
      <c r="D9" s="3"/>
      <c r="E9" s="3"/>
      <c r="F9" s="6"/>
      <c r="G9" s="3"/>
      <c r="H9" s="3"/>
      <c r="I9" s="3"/>
      <c r="J9" s="3"/>
      <c r="K9" s="3" t="str">
        <f ca="1">IFERROR(__xludf.DUMMYFUNCTION("""COMPUTED_VALUE"""),"Third")</f>
        <v>Third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IFERROR(__xludf.DUMMYFUNCTION("""COMPUTED_VALUE"""),"Jackson")</f>
        <v>Jackson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IFERROR(__xludf.DUMMYFUNCTION("""COMPUTED_VALUE"""),45635.4200960995)</f>
        <v>45635.4200960995</v>
      </c>
      <c r="B10" s="3" t="str">
        <f ca="1">IFERROR(__xludf.DUMMYFUNCTION("""COMPUTED_VALUE"""),"danap@normanps.org")</f>
        <v>danap@normanps.org</v>
      </c>
      <c r="C10" s="3"/>
      <c r="D10" s="3"/>
      <c r="E10" s="3"/>
      <c r="F10" s="6"/>
      <c r="G10" s="3"/>
      <c r="H10" s="3"/>
      <c r="I10" s="3"/>
      <c r="J10" s="3"/>
      <c r="K10" s="3" t="str">
        <f ca="1">IFERROR(__xludf.DUMMYFUNCTION("""COMPUTED_VALUE"""),"Fourth")</f>
        <v>Fourth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IFERROR(__xludf.DUMMYFUNCTION("""COMPUTED_VALUE"""),"Jackson")</f>
        <v>Jackson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IFERROR(__xludf.DUMMYFUNCTION("""COMPUTED_VALUE"""),45635.4208332638)</f>
        <v>45635.420833263801</v>
      </c>
      <c r="B11" s="3" t="str">
        <f ca="1">IFERROR(__xludf.DUMMYFUNCTION("""COMPUTED_VALUE"""),"danap@normanps.org")</f>
        <v>danap@normanps.org</v>
      </c>
      <c r="C11" s="3"/>
      <c r="D11" s="3"/>
      <c r="E11" s="3"/>
      <c r="F11" s="6"/>
      <c r="G11" s="3"/>
      <c r="H11" s="3">
        <f ca="1">IFERROR(__xludf.DUMMYFUNCTION("""COMPUTED_VALUE"""),30)</f>
        <v>30</v>
      </c>
      <c r="I11" s="3"/>
      <c r="J11" s="3"/>
      <c r="K11" s="3" t="str">
        <f ca="1">IFERROR(__xludf.DUMMYFUNCTION("""COMPUTED_VALUE"""),"Fifth")</f>
        <v>Fifth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IFERROR(__xludf.DUMMYFUNCTION("""COMPUTED_VALUE"""),"Jackson")</f>
        <v>Jackson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IFERROR(__xludf.DUMMYFUNCTION("""COMPUTED_VALUE"""),45644.5309503935)</f>
        <v>45644.530950393499</v>
      </c>
      <c r="B12" s="3" t="str">
        <f ca="1">IFERROR(__xludf.DUMMYFUNCTION("""COMPUTED_VALUE"""),"sschrank@normanps.org")</f>
        <v>sschrank@normanps.org</v>
      </c>
      <c r="C12" s="3">
        <f ca="1">IFERROR(__xludf.DUMMYFUNCTION("""COMPUTED_VALUE"""),2097)</f>
        <v>2097</v>
      </c>
      <c r="D12" s="3"/>
      <c r="E12" s="3"/>
      <c r="F12" s="6"/>
      <c r="G12" s="3"/>
      <c r="H12" s="3"/>
      <c r="I12" s="3"/>
      <c r="J12" s="3"/>
      <c r="K12" s="3"/>
      <c r="L12" s="3"/>
      <c r="M12" s="3"/>
      <c r="N12" s="3">
        <f ca="1">IFERROR(__xludf.DUMMYFUNCTION("""COMPUTED_VALUE"""),130)</f>
        <v>130</v>
      </c>
      <c r="O12" s="3"/>
      <c r="P12" s="3"/>
      <c r="Q12" s="3"/>
      <c r="R12" s="3"/>
      <c r="S12" s="3"/>
      <c r="T12" s="3" t="str">
        <f ca="1">IFERROR(__xludf.DUMMYFUNCTION("""COMPUTED_VALUE"""),"Jackson")</f>
        <v>Jackson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IFERROR(__xludf.DUMMYFUNCTION("""COMPUTED_VALUE"""),45672.3310523958)</f>
        <v>45672.331052395799</v>
      </c>
      <c r="B13" s="3" t="str">
        <f ca="1">IFERROR(__xludf.DUMMYFUNCTION("""COMPUTED_VALUE"""),"sschrank@normanps.org")</f>
        <v>sschrank@normanps.org</v>
      </c>
      <c r="C13" s="3">
        <f ca="1">IFERROR(__xludf.DUMMYFUNCTION("""COMPUTED_VALUE"""),850)</f>
        <v>850</v>
      </c>
      <c r="D13" s="3"/>
      <c r="E13" s="3"/>
      <c r="F13" s="6"/>
      <c r="G13" s="3"/>
      <c r="H13" s="3"/>
      <c r="I13" s="3"/>
      <c r="J13" s="3"/>
      <c r="K13" s="3"/>
      <c r="L13" s="3"/>
      <c r="M13" s="3"/>
      <c r="N13" s="3">
        <f ca="1">IFERROR(__xludf.DUMMYFUNCTION("""COMPUTED_VALUE"""),18)</f>
        <v>18</v>
      </c>
      <c r="O13" s="3"/>
      <c r="P13" s="3"/>
      <c r="Q13" s="3"/>
      <c r="R13" s="3"/>
      <c r="S13" s="3"/>
      <c r="T13" s="3" t="str">
        <f ca="1">IFERROR(__xludf.DUMMYFUNCTION("""COMPUTED_VALUE"""),"Jackson")</f>
        <v>Jackson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IFERROR(__xludf.DUMMYFUNCTION("""COMPUTED_VALUE"""),45693.4805094097)</f>
        <v>45693.480509409703</v>
      </c>
      <c r="B14" s="3" t="str">
        <f ca="1">IFERROR(__xludf.DUMMYFUNCTION("""COMPUTED_VALUE"""),"sschrank@normanps.org")</f>
        <v>sschrank@normanps.org</v>
      </c>
      <c r="C14" s="3">
        <f ca="1">IFERROR(__xludf.DUMMYFUNCTION("""COMPUTED_VALUE"""),1008)</f>
        <v>1008</v>
      </c>
      <c r="D14" s="3"/>
      <c r="E14" s="3"/>
      <c r="F14" s="6"/>
      <c r="G14" s="3"/>
      <c r="H14" s="3"/>
      <c r="I14" s="3"/>
      <c r="J14" s="3"/>
      <c r="K14" s="3"/>
      <c r="L14" s="3"/>
      <c r="M14" s="3"/>
      <c r="N14" s="3">
        <f ca="1">IFERROR(__xludf.DUMMYFUNCTION("""COMPUTED_VALUE"""),4)</f>
        <v>4</v>
      </c>
      <c r="O14" s="3"/>
      <c r="P14" s="3"/>
      <c r="Q14" s="3"/>
      <c r="R14" s="3"/>
      <c r="S14" s="3"/>
      <c r="T14" s="3" t="str">
        <f ca="1">IFERROR(__xludf.DUMMYFUNCTION("""COMPUTED_VALUE"""),"Jackson")</f>
        <v>Jackson</v>
      </c>
      <c r="U14" s="3"/>
      <c r="V14" s="3"/>
      <c r="W14" s="3"/>
      <c r="X14" s="3"/>
      <c r="Y14" s="3"/>
      <c r="Z14" s="3"/>
      <c r="AA14" s="3"/>
      <c r="AB14" s="3"/>
      <c r="AC1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'Jefferson'"",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13">
        <f ca="1">IFERROR(__xludf.DUMMYFUNCTION("""COMPUTED_VALUE"""),45527.5965084027)</f>
        <v>45527.596508402698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IFERROR(__xludf.DUMMYFUNCTION("""COMPUTED_VALUE"""),"Jefferson")</f>
        <v>Jefferson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IFERROR(__xludf.DUMMYFUNCTION("""COMPUTED_VALUE"""),45538.4156407407)</f>
        <v>45538.415640740699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IFERROR(__xludf.DUMMYFUNCTION("""COMPUTED_VALUE"""),1268)</f>
        <v>1268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IFERROR(__xludf.DUMMYFUNCTION("""COMPUTED_VALUE"""),3)</f>
        <v>3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IFERROR(__xludf.DUMMYFUNCTION("""COMPUTED_VALUE"""),"Jefferson")</f>
        <v>Jefferson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IFERROR(__xludf.DUMMYFUNCTION("""COMPUTED_VALUE"""),45562.3621663657)</f>
        <v>45562.362166365703</v>
      </c>
      <c r="B4" s="3" t="str">
        <f ca="1">IFERROR(__xludf.DUMMYFUNCTION("""COMPUTED_VALUE"""),"matthewb@normanps.org")</f>
        <v>matthewb@normanps.org</v>
      </c>
      <c r="C4" s="3"/>
      <c r="D4" s="3">
        <f ca="1">IFERROR(__xludf.DUMMYFUNCTION("""COMPUTED_VALUE"""),30)</f>
        <v>30</v>
      </c>
      <c r="E4" s="3"/>
      <c r="F4" s="6"/>
      <c r="G4" s="3"/>
      <c r="H4" s="3">
        <f ca="1">IFERROR(__xludf.DUMMYFUNCTION("""COMPUTED_VALUE"""),16)</f>
        <v>16</v>
      </c>
      <c r="I4" s="3"/>
      <c r="J4" s="3"/>
      <c r="K4" s="3"/>
      <c r="L4" s="3"/>
      <c r="M4" s="3"/>
      <c r="N4" s="3"/>
      <c r="O4" s="3"/>
      <c r="P4" s="3"/>
      <c r="Q4" s="3" t="str">
        <f ca="1">IFERROR(__xludf.DUMMYFUNCTION("""COMPUTED_VALUE"""),"Culture and Climate Committee")</f>
        <v>Culture and Climate Committee</v>
      </c>
      <c r="R4" s="3"/>
      <c r="S4" s="3">
        <f ca="1">IFERROR(__xludf.DUMMYFUNCTION("""COMPUTED_VALUE"""),6)</f>
        <v>6</v>
      </c>
      <c r="T4" s="3" t="str">
        <f ca="1">IFERROR(__xludf.DUMMYFUNCTION("""COMPUTED_VALUE"""),"Jefferson")</f>
        <v>Jefferson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IFERROR(__xludf.DUMMYFUNCTION("""COMPUTED_VALUE"""),45573.4147881597)</f>
        <v>45573.414788159702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IFERROR(__xludf.DUMMYFUNCTION("""COMPUTED_VALUE"""),1910)</f>
        <v>1910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IFERROR(__xludf.DUMMYFUNCTION("""COMPUTED_VALUE"""),36)</f>
        <v>36</v>
      </c>
      <c r="O5" s="3"/>
      <c r="P5" s="3"/>
      <c r="Q5" s="3"/>
      <c r="R5" s="3"/>
      <c r="S5" s="3"/>
      <c r="T5" s="3" t="str">
        <f ca="1">IFERROR(__xludf.DUMMYFUNCTION("""COMPUTED_VALUE"""),"Jefferson")</f>
        <v>Jefferson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IFERROR(__xludf.DUMMYFUNCTION("""COMPUTED_VALUE"""),45587.4868537615)</f>
        <v>45587.486853761497</v>
      </c>
      <c r="B6" s="3" t="str">
        <f ca="1">IFERROR(__xludf.DUMMYFUNCTION("""COMPUTED_VALUE"""),"matthewb@normanps.org")</f>
        <v>matthewb@normanps.org</v>
      </c>
      <c r="C6" s="3"/>
      <c r="D6" s="3">
        <f ca="1">IFERROR(__xludf.DUMMYFUNCTION("""COMPUTED_VALUE"""),11)</f>
        <v>11</v>
      </c>
      <c r="E6" s="3"/>
      <c r="F6" s="6"/>
      <c r="G6" s="3"/>
      <c r="H6" s="3">
        <f ca="1">IFERROR(__xludf.DUMMYFUNCTION("""COMPUTED_VALUE"""),30)</f>
        <v>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IFERROR(__xludf.DUMMYFUNCTION("""COMPUTED_VALUE"""),"Jefferson")</f>
        <v>Jefferson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IFERROR(__xludf.DUMMYFUNCTION("""COMPUTED_VALUE"""),45604.5207099884)</f>
        <v>45604.520709988399</v>
      </c>
      <c r="B7" s="3" t="str">
        <f ca="1">IFERROR(__xludf.DUMMYFUNCTION("""COMPUTED_VALUE"""),"matthewb@normanps.org")</f>
        <v>matthewb@normanps.org</v>
      </c>
      <c r="C7" s="3"/>
      <c r="D7" s="3">
        <f ca="1">IFERROR(__xludf.DUMMYFUNCTION("""COMPUTED_VALUE"""),4)</f>
        <v>4</v>
      </c>
      <c r="E7" s="3"/>
      <c r="F7" s="6"/>
      <c r="G7" s="3"/>
      <c r="H7" s="3">
        <f ca="1">IFERROR(__xludf.DUMMYFUNCTION("""COMPUTED_VALUE"""),20)</f>
        <v>20</v>
      </c>
      <c r="I7" s="3" t="str">
        <f ca="1">IFERROR(__xludf.DUMMYFUNCTION("""COMPUTED_VALUE"""),"Inquire")</f>
        <v>Inquire</v>
      </c>
      <c r="J7" s="3" t="str">
        <f ca="1">IFERROR(__xludf.DUMMYFUNCTION("""COMPUTED_VALUE"""),"Science")</f>
        <v>Science</v>
      </c>
      <c r="K7" s="3" t="str">
        <f ca="1">IFERROR(__xludf.DUMMYFUNCTION("""COMPUTED_VALUE"""),"Fifth")</f>
        <v>Fifth</v>
      </c>
      <c r="L7" s="3"/>
      <c r="M7" s="3"/>
      <c r="N7" s="3"/>
      <c r="O7" s="3"/>
      <c r="P7" s="3"/>
      <c r="Q7" s="3"/>
      <c r="R7" s="3"/>
      <c r="S7" s="3">
        <f ca="1">IFERROR(__xludf.DUMMYFUNCTION("""COMPUTED_VALUE"""),6)</f>
        <v>6</v>
      </c>
      <c r="T7" s="3" t="str">
        <f ca="1">IFERROR(__xludf.DUMMYFUNCTION("""COMPUTED_VALUE"""),"Jefferson")</f>
        <v>Jefferson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IFERROR(__xludf.DUMMYFUNCTION("""COMPUTED_VALUE"""),45644.5318879861)</f>
        <v>45644.531887986101</v>
      </c>
      <c r="B8" s="3" t="str">
        <f ca="1">IFERROR(__xludf.DUMMYFUNCTION("""COMPUTED_VALUE"""),"sschrank@normanps.org")</f>
        <v>sschrank@normanps.org</v>
      </c>
      <c r="C8" s="3">
        <f ca="1">IFERROR(__xludf.DUMMYFUNCTION("""COMPUTED_VALUE"""),2438)</f>
        <v>2438</v>
      </c>
      <c r="D8" s="3"/>
      <c r="E8" s="3"/>
      <c r="F8" s="6"/>
      <c r="G8" s="3"/>
      <c r="H8" s="3"/>
      <c r="I8" s="3"/>
      <c r="J8" s="3"/>
      <c r="K8" s="3"/>
      <c r="L8" s="3"/>
      <c r="M8" s="3"/>
      <c r="N8" s="3">
        <f ca="1">IFERROR(__xludf.DUMMYFUNCTION("""COMPUTED_VALUE"""),47)</f>
        <v>47</v>
      </c>
      <c r="O8" s="3"/>
      <c r="P8" s="3"/>
      <c r="Q8" s="3"/>
      <c r="R8" s="3"/>
      <c r="S8" s="3"/>
      <c r="T8" s="3" t="str">
        <f ca="1">IFERROR(__xludf.DUMMYFUNCTION("""COMPUTED_VALUE"""),"Jefferson")</f>
        <v>Jefferson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IFERROR(__xludf.DUMMYFUNCTION("""COMPUTED_VALUE"""),45672.3349466203)</f>
        <v>45672.3349466203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IFERROR(__xludf.DUMMYFUNCTION("""COMPUTED_VALUE"""),1170)</f>
        <v>1170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IFERROR(__xludf.DUMMYFUNCTION("""COMPUTED_VALUE"""),26)</f>
        <v>26</v>
      </c>
      <c r="O9" s="3"/>
      <c r="P9" s="3"/>
      <c r="Q9" s="3"/>
      <c r="R9" s="3"/>
      <c r="S9" s="3"/>
      <c r="T9" s="3" t="str">
        <f ca="1">IFERROR(__xludf.DUMMYFUNCTION("""COMPUTED_VALUE"""),"Jefferson")</f>
        <v>Jefferson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IFERROR(__xludf.DUMMYFUNCTION("""COMPUTED_VALUE"""),45693.4808223148)</f>
        <v>45693.480822314799</v>
      </c>
      <c r="B10" s="3" t="str">
        <f ca="1">IFERROR(__xludf.DUMMYFUNCTION("""COMPUTED_VALUE"""),"sschrank@normanps.org")</f>
        <v>sschrank@normanps.org</v>
      </c>
      <c r="C10" s="3">
        <f ca="1">IFERROR(__xludf.DUMMYFUNCTION("""COMPUTED_VALUE"""),1217)</f>
        <v>1217</v>
      </c>
      <c r="D10" s="3"/>
      <c r="E10" s="3"/>
      <c r="F10" s="6"/>
      <c r="G10" s="3"/>
      <c r="H10" s="3"/>
      <c r="I10" s="3"/>
      <c r="J10" s="3"/>
      <c r="K10" s="3"/>
      <c r="L10" s="3"/>
      <c r="M10" s="3"/>
      <c r="N10" s="3">
        <f ca="1">IFERROR(__xludf.DUMMYFUNCTION("""COMPUTED_VALUE"""),15)</f>
        <v>15</v>
      </c>
      <c r="O10" s="3"/>
      <c r="P10" s="3"/>
      <c r="Q10" s="3"/>
      <c r="R10" s="3"/>
      <c r="S10" s="3"/>
      <c r="T10" s="3" t="str">
        <f ca="1">IFERROR(__xludf.DUMMYFUNCTION("""COMPUTED_VALUE"""),"Jefferson")</f>
        <v>Jefferson</v>
      </c>
      <c r="U10" s="3"/>
      <c r="V10" s="3"/>
      <c r="W10" s="3"/>
      <c r="X10" s="3"/>
      <c r="Y10" s="3"/>
      <c r="Z10" s="3"/>
      <c r="AA10" s="3"/>
      <c r="AB10" s="3"/>
      <c r="AC1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4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'Kennedy'"",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IFERROR(__xludf.DUMMYFUNCTION("""COMPUTED_VALUE"""),45527.5968974305)</f>
        <v>45527.5968974305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IFERROR(__xludf.DUMMYFUNCTION("""COMPUTED_VALUE"""),"Kennedy")</f>
        <v>Kennedy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IFERROR(__xludf.DUMMYFUNCTION("""COMPUTED_VALUE"""),45538.4161065624)</f>
        <v>45538.416106562399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IFERROR(__xludf.DUMMYFUNCTION("""COMPUTED_VALUE"""),366)</f>
        <v>366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IFERROR(__xludf.DUMMYFUNCTION("""COMPUTED_VALUE"""),0)</f>
        <v>0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IFERROR(__xludf.DUMMYFUNCTION("""COMPUTED_VALUE"""),"Kennedy")</f>
        <v>Kennedy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IFERROR(__xludf.DUMMYFUNCTION("""COMPUTED_VALUE"""),45566.5842824537)</f>
        <v>45566.584282453703</v>
      </c>
      <c r="B4" s="3" t="str">
        <f ca="1">IFERROR(__xludf.DUMMYFUNCTION("""COMPUTED_VALUE"""),"charlottef@normanps.org")</f>
        <v>charlottef@normanps.org</v>
      </c>
      <c r="C4" s="3"/>
      <c r="D4" s="3">
        <f ca="1">IFERROR(__xludf.DUMMYFUNCTION("""COMPUTED_VALUE"""),23)</f>
        <v>23</v>
      </c>
      <c r="E4" s="3"/>
      <c r="F4" s="6"/>
      <c r="G4" s="3">
        <f ca="1">IFERROR(__xludf.DUMMYFUNCTION("""COMPUTED_VALUE"""),30)</f>
        <v>30</v>
      </c>
      <c r="H4" s="3">
        <f ca="1">IFERROR(__xludf.DUMMYFUNCTION("""COMPUTED_VALUE"""),5)</f>
        <v>5</v>
      </c>
      <c r="I4" s="3" t="str">
        <f ca="1">IFERROR(__xludf.DUMMYFUNCTION("""COMPUTED_VALUE"""),"Collaborate")</f>
        <v>Collaborate</v>
      </c>
      <c r="J4" s="3"/>
      <c r="K4" s="3" t="str">
        <f ca="1">IFERROR(__xludf.DUMMYFUNCTION("""COMPUTED_VALUE"""),"Fifth")</f>
        <v>Fifth</v>
      </c>
      <c r="L4" s="3" t="str">
        <f ca="1">IFERROR(__xludf.DUMMYFUNCTION("""COMPUTED_VALUE"""),"Legos")</f>
        <v>Legos</v>
      </c>
      <c r="M4" s="3">
        <f ca="1">IFERROR(__xludf.DUMMYFUNCTION("""COMPUTED_VALUE"""),45)</f>
        <v>45</v>
      </c>
      <c r="N4" s="3"/>
      <c r="O4" s="3"/>
      <c r="P4" s="3"/>
      <c r="Q4" s="3"/>
      <c r="R4" s="3"/>
      <c r="S4" s="3"/>
      <c r="T4" s="3" t="str">
        <f ca="1">IFERROR(__xludf.DUMMYFUNCTION("""COMPUTED_VALUE"""),"Kennedy")</f>
        <v>Kennedy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IFERROR(__xludf.DUMMYFUNCTION("""COMPUTED_VALUE"""),45566.5845562037)</f>
        <v>45566.584556203699</v>
      </c>
      <c r="B5" s="3" t="str">
        <f ca="1">IFERROR(__xludf.DUMMYFUNCTION("""COMPUTED_VALUE"""),"charlottef@normanps.org")</f>
        <v>charlottef@normanps.org</v>
      </c>
      <c r="C5" s="3"/>
      <c r="D5" s="3"/>
      <c r="E5" s="3"/>
      <c r="F5" s="6"/>
      <c r="G5" s="3"/>
      <c r="H5" s="3"/>
      <c r="I5" s="3" t="str">
        <f ca="1">IFERROR(__xludf.DUMMYFUNCTION("""COMPUTED_VALUE"""),"Collaborate")</f>
        <v>Collaborate</v>
      </c>
      <c r="J5" s="3"/>
      <c r="K5" s="3" t="str">
        <f ca="1">IFERROR(__xludf.DUMMYFUNCTION("""COMPUTED_VALUE"""),"Fourth")</f>
        <v>Fourth</v>
      </c>
      <c r="L5" s="3"/>
      <c r="M5" s="3"/>
      <c r="N5" s="3"/>
      <c r="O5" s="3"/>
      <c r="P5" s="3"/>
      <c r="Q5" s="3"/>
      <c r="R5" s="3"/>
      <c r="S5" s="3"/>
      <c r="T5" s="3" t="str">
        <f ca="1">IFERROR(__xludf.DUMMYFUNCTION("""COMPUTED_VALUE"""),"Kennedy")</f>
        <v>Kennedy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IFERROR(__xludf.DUMMYFUNCTION("""COMPUTED_VALUE"""),45566.5847612963)</f>
        <v>45566.584761296297</v>
      </c>
      <c r="B6" s="3" t="str">
        <f ca="1">IFERROR(__xludf.DUMMYFUNCTION("""COMPUTED_VALUE"""),"charlottef@normanps.org")</f>
        <v>charlottef@normanps.org</v>
      </c>
      <c r="C6" s="3"/>
      <c r="D6" s="3"/>
      <c r="E6" s="3"/>
      <c r="F6" s="6"/>
      <c r="G6" s="3"/>
      <c r="H6" s="3"/>
      <c r="I6" s="3" t="str">
        <f ca="1">IFERROR(__xludf.DUMMYFUNCTION("""COMPUTED_VALUE"""),"Collaborate")</f>
        <v>Collaborate</v>
      </c>
      <c r="J6" s="3"/>
      <c r="K6" s="3" t="str">
        <f ca="1">IFERROR(__xludf.DUMMYFUNCTION("""COMPUTED_VALUE"""),"Third")</f>
        <v>Third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IFERROR(__xludf.DUMMYFUNCTION("""COMPUTED_VALUE"""),"Kennedy")</f>
        <v>Kennedy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IFERROR(__xludf.DUMMYFUNCTION("""COMPUTED_VALUE"""),45566.5850485069)</f>
        <v>45566.585048506902</v>
      </c>
      <c r="B7" s="3" t="str">
        <f ca="1">IFERROR(__xludf.DUMMYFUNCTION("""COMPUTED_VALUE"""),"charlottef@normanps.org")</f>
        <v>charlottef@normanps.org</v>
      </c>
      <c r="C7" s="3"/>
      <c r="D7" s="3"/>
      <c r="E7" s="3"/>
      <c r="F7" s="6"/>
      <c r="G7" s="3"/>
      <c r="H7" s="3"/>
      <c r="I7" s="3" t="str">
        <f ca="1">IFERROR(__xludf.DUMMYFUNCTION("""COMPUTED_VALUE"""),"Collaborate")</f>
        <v>Collaborate</v>
      </c>
      <c r="J7" s="3"/>
      <c r="K7" s="3" t="str">
        <f ca="1">IFERROR(__xludf.DUMMYFUNCTION("""COMPUTED_VALUE"""),"Second")</f>
        <v>Second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IFERROR(__xludf.DUMMYFUNCTION("""COMPUTED_VALUE"""),"Kennedy")</f>
        <v>Kennedy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IFERROR(__xludf.DUMMYFUNCTION("""COMPUTED_VALUE"""),45566.5852474189)</f>
        <v>45566.585247418901</v>
      </c>
      <c r="B8" s="3" t="str">
        <f ca="1">IFERROR(__xludf.DUMMYFUNCTION("""COMPUTED_VALUE"""),"charlottef@normanps.org")</f>
        <v>charlottef@normanps.org</v>
      </c>
      <c r="C8" s="3"/>
      <c r="D8" s="3"/>
      <c r="E8" s="3"/>
      <c r="F8" s="6"/>
      <c r="G8" s="3"/>
      <c r="H8" s="3"/>
      <c r="I8" s="3" t="str">
        <f ca="1">IFERROR(__xludf.DUMMYFUNCTION("""COMPUTED_VALUE"""),"Collaborate")</f>
        <v>Collaborate</v>
      </c>
      <c r="J8" s="3"/>
      <c r="K8" s="3" t="str">
        <f ca="1">IFERROR(__xludf.DUMMYFUNCTION("""COMPUTED_VALUE"""),"First")</f>
        <v>First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IFERROR(__xludf.DUMMYFUNCTION("""COMPUTED_VALUE"""),"Kennedy")</f>
        <v>Kennedy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IFERROR(__xludf.DUMMYFUNCTION("""COMPUTED_VALUE"""),45566.5854794444)</f>
        <v>45566.585479444402</v>
      </c>
      <c r="B9" s="3" t="str">
        <f ca="1">IFERROR(__xludf.DUMMYFUNCTION("""COMPUTED_VALUE"""),"charlottef@normanps.org")</f>
        <v>charlottef@normanps.org</v>
      </c>
      <c r="C9" s="3"/>
      <c r="D9" s="3"/>
      <c r="E9" s="3"/>
      <c r="F9" s="6"/>
      <c r="G9" s="3"/>
      <c r="H9" s="3"/>
      <c r="I9" s="3" t="str">
        <f ca="1">IFERROR(__xludf.DUMMYFUNCTION("""COMPUTED_VALUE"""),"Collaborate")</f>
        <v>Collaborate</v>
      </c>
      <c r="J9" s="3"/>
      <c r="K9" s="3" t="str">
        <f ca="1">IFERROR(__xludf.DUMMYFUNCTION("""COMPUTED_VALUE"""),"Kindergarten")</f>
        <v>Kindergarten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IFERROR(__xludf.DUMMYFUNCTION("""COMPUTED_VALUE"""),"Kennedy")</f>
        <v>Kennedy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IFERROR(__xludf.DUMMYFUNCTION("""COMPUTED_VALUE"""),45566.58640603)</f>
        <v>45566.586406030001</v>
      </c>
      <c r="B10" s="3" t="str">
        <f ca="1">IFERROR(__xludf.DUMMYFUNCTION("""COMPUTED_VALUE"""),"charlottef@normanps.org")</f>
        <v>charlottef@normanps.org</v>
      </c>
      <c r="C10" s="3"/>
      <c r="D10" s="3">
        <f ca="1">IFERROR(__xludf.DUMMYFUNCTION("""COMPUTED_VALUE"""),2)</f>
        <v>2</v>
      </c>
      <c r="E10" s="3"/>
      <c r="F10" s="6"/>
      <c r="G10" s="3"/>
      <c r="H10" s="3"/>
      <c r="I10" s="3" t="str">
        <f ca="1">IFERROR(__xludf.DUMMYFUNCTION("""COMPUTED_VALUE"""),"Explore")</f>
        <v>Explore</v>
      </c>
      <c r="J10" s="3" t="str">
        <f ca="1">IFERROR(__xludf.DUMMYFUNCTION("""COMPUTED_VALUE"""),"ELA")</f>
        <v>ELA</v>
      </c>
      <c r="K10" s="3" t="str">
        <f ca="1">IFERROR(__xludf.DUMMYFUNCTION("""COMPUTED_VALUE"""),"Autism/SPED multi-level elementary")</f>
        <v>Autism/SPED multi-level elementary</v>
      </c>
      <c r="L10" s="3"/>
      <c r="M10" s="3"/>
      <c r="N10" s="3"/>
      <c r="O10" s="3"/>
      <c r="P10" s="3" t="str">
        <f ca="1">IFERROR(__xludf.DUMMYFUNCTION("""COMPUTED_VALUE"""),"Pioneer Library")</f>
        <v>Pioneer Library</v>
      </c>
      <c r="Q10" s="3"/>
      <c r="R10" s="3"/>
      <c r="S10" s="3"/>
      <c r="T10" s="3" t="str">
        <f ca="1">IFERROR(__xludf.DUMMYFUNCTION("""COMPUTED_VALUE"""),"Kennedy")</f>
        <v>Kennedy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IFERROR(__xludf.DUMMYFUNCTION("""COMPUTED_VALUE"""),45572.585338206)</f>
        <v>45572.585338206001</v>
      </c>
      <c r="B11" s="3" t="str">
        <f ca="1">IFERROR(__xludf.DUMMYFUNCTION("""COMPUTED_VALUE"""),"charlottef@normanps.org")</f>
        <v>charlottef@normanps.org</v>
      </c>
      <c r="C11" s="3"/>
      <c r="D11" s="3"/>
      <c r="E11" s="3"/>
      <c r="F11" s="6"/>
      <c r="G11" s="3">
        <f ca="1">IFERROR(__xludf.DUMMYFUNCTION("""COMPUTED_VALUE"""),30)</f>
        <v>30</v>
      </c>
      <c r="H11" s="3">
        <f ca="1">IFERROR(__xludf.DUMMYFUNCTION("""COMPUTED_VALUE"""),6)</f>
        <v>6</v>
      </c>
      <c r="I11" s="3"/>
      <c r="J11" s="3"/>
      <c r="K11" s="3"/>
      <c r="L11" s="3" t="str">
        <f ca="1">IFERROR(__xludf.DUMMYFUNCTION("""COMPUTED_VALUE"""),"Cardboard Tubes")</f>
        <v>Cardboard Tubes</v>
      </c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IFERROR(__xludf.DUMMYFUNCTION("""COMPUTED_VALUE"""),"Kennedy")</f>
        <v>Kennedy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IFERROR(__xludf.DUMMYFUNCTION("""COMPUTED_VALUE"""),45573.4152020486)</f>
        <v>45573.4152020486</v>
      </c>
      <c r="B12" s="3" t="str">
        <f ca="1">IFERROR(__xludf.DUMMYFUNCTION("""COMPUTED_VALUE"""),"sschrank@normanps.org")</f>
        <v>sschrank@normanps.org</v>
      </c>
      <c r="C12" s="3">
        <f ca="1">IFERROR(__xludf.DUMMYFUNCTION("""COMPUTED_VALUE"""),876)</f>
        <v>876</v>
      </c>
      <c r="D12" s="3"/>
      <c r="E12" s="3"/>
      <c r="F12" s="6"/>
      <c r="G12" s="3"/>
      <c r="H12" s="3"/>
      <c r="I12" s="3"/>
      <c r="J12" s="3"/>
      <c r="K12" s="3"/>
      <c r="L12" s="3"/>
      <c r="M12" s="3"/>
      <c r="N12" s="3">
        <f ca="1">IFERROR(__xludf.DUMMYFUNCTION("""COMPUTED_VALUE"""),1)</f>
        <v>1</v>
      </c>
      <c r="O12" s="3"/>
      <c r="P12" s="3"/>
      <c r="Q12" s="3"/>
      <c r="R12" s="3"/>
      <c r="S12" s="3"/>
      <c r="T12" s="3" t="str">
        <f ca="1">IFERROR(__xludf.DUMMYFUNCTION("""COMPUTED_VALUE"""),"Kennedy")</f>
        <v>Kennedy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IFERROR(__xludf.DUMMYFUNCTION("""COMPUTED_VALUE"""),45580.5109503125)</f>
        <v>45580.510950312499</v>
      </c>
      <c r="B13" s="3" t="str">
        <f ca="1">IFERROR(__xludf.DUMMYFUNCTION("""COMPUTED_VALUE"""),"charlottef@normanps.org")</f>
        <v>charlottef@normanps.org</v>
      </c>
      <c r="C13" s="3"/>
      <c r="D13" s="3"/>
      <c r="E13" s="3"/>
      <c r="F13" s="6"/>
      <c r="G13" s="3">
        <f ca="1">IFERROR(__xludf.DUMMYFUNCTION("""COMPUTED_VALUE"""),12)</f>
        <v>12</v>
      </c>
      <c r="H13" s="3">
        <f ca="1">IFERROR(__xludf.DUMMYFUNCTION("""COMPUTED_VALUE"""),2)</f>
        <v>2</v>
      </c>
      <c r="I13" s="3"/>
      <c r="J13" s="3"/>
      <c r="K13" s="3"/>
      <c r="L13" s="3" t="str">
        <f ca="1">IFERROR(__xludf.DUMMYFUNCTION("""COMPUTED_VALUE"""),"Board games")</f>
        <v>Board games</v>
      </c>
      <c r="M13" s="3"/>
      <c r="N13" s="3"/>
      <c r="O13" s="3"/>
      <c r="P13" s="3"/>
      <c r="Q13" s="3" t="str">
        <f ca="1">IFERROR(__xludf.DUMMYFUNCTION("""COMPUTED_VALUE"""),"Staff Success and Communications")</f>
        <v>Staff Success and Communications</v>
      </c>
      <c r="R13" s="3"/>
      <c r="S13" s="3"/>
      <c r="T13" s="3" t="str">
        <f ca="1">IFERROR(__xludf.DUMMYFUNCTION("""COMPUTED_VALUE"""),"Kennedy")</f>
        <v>Kennedy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IFERROR(__xludf.DUMMYFUNCTION("""COMPUTED_VALUE"""),45586.4297994675)</f>
        <v>45586.4297994675</v>
      </c>
      <c r="B14" s="3" t="str">
        <f ca="1">IFERROR(__xludf.DUMMYFUNCTION("""COMPUTED_VALUE"""),"charlottef@normanps.org")</f>
        <v>charlottef@normanps.org</v>
      </c>
      <c r="C14" s="3"/>
      <c r="D14" s="3">
        <f ca="1">IFERROR(__xludf.DUMMYFUNCTION("""COMPUTED_VALUE"""),2)</f>
        <v>2</v>
      </c>
      <c r="E14" s="3"/>
      <c r="F14" s="6"/>
      <c r="G14" s="3">
        <f ca="1">IFERROR(__xludf.DUMMYFUNCTION("""COMPUTED_VALUE"""),22)</f>
        <v>22</v>
      </c>
      <c r="H14" s="3">
        <f ca="1">IFERROR(__xludf.DUMMYFUNCTION("""COMPUTED_VALUE"""),4)</f>
        <v>4</v>
      </c>
      <c r="I14" s="3" t="str">
        <f ca="1">IFERROR(__xludf.DUMMYFUNCTION("""COMPUTED_VALUE"""),"Collaborate")</f>
        <v>Collaborate</v>
      </c>
      <c r="J14" s="3" t="str">
        <f ca="1">IFERROR(__xludf.DUMMYFUNCTION("""COMPUTED_VALUE"""),"Art")</f>
        <v>Art</v>
      </c>
      <c r="K14" s="3" t="str">
        <f ca="1">IFERROR(__xludf.DUMMYFUNCTION("""COMPUTED_VALUE"""),"Autism/SPED multi-level elementary")</f>
        <v>Autism/SPED multi-level elementary</v>
      </c>
      <c r="L14" s="3" t="str">
        <f ca="1">IFERROR(__xludf.DUMMYFUNCTION("""COMPUTED_VALUE"""),"Popsicle sticks")</f>
        <v>Popsicle sticks</v>
      </c>
      <c r="M14" s="3"/>
      <c r="N14" s="3"/>
      <c r="O14" s="3"/>
      <c r="P14" s="3" t="str">
        <f ca="1">IFERROR(__xludf.DUMMYFUNCTION("""COMPUTED_VALUE"""),"Pioneer")</f>
        <v>Pioneer</v>
      </c>
      <c r="Q14" s="3"/>
      <c r="R14" s="3" t="str">
        <f ca="1">IFERROR(__xludf.DUMMYFUNCTION("""COMPUTED_VALUE"""),"Thunder Book Bus")</f>
        <v>Thunder Book Bus</v>
      </c>
      <c r="S14" s="3"/>
      <c r="T14" s="3" t="str">
        <f ca="1">IFERROR(__xludf.DUMMYFUNCTION("""COMPUTED_VALUE"""),"Kennedy")</f>
        <v>Kennedy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IFERROR(__xludf.DUMMYFUNCTION("""COMPUTED_VALUE"""),45596.4347032175)</f>
        <v>45596.434703217499</v>
      </c>
      <c r="B15" s="3" t="str">
        <f ca="1">IFERROR(__xludf.DUMMYFUNCTION("""COMPUTED_VALUE"""),"charlottef@normanps.org")</f>
        <v>charlottef@normanps.org</v>
      </c>
      <c r="C15" s="3"/>
      <c r="D15" s="3"/>
      <c r="E15" s="3"/>
      <c r="F15" s="6"/>
      <c r="G15" s="3"/>
      <c r="H15" s="3">
        <f ca="1">IFERROR(__xludf.DUMMYFUNCTION("""COMPUTED_VALUE"""),3)</f>
        <v>3</v>
      </c>
      <c r="I15" s="3"/>
      <c r="J15" s="3"/>
      <c r="K15" s="3"/>
      <c r="L15" s="3"/>
      <c r="M15" s="3">
        <f ca="1">IFERROR(__xludf.DUMMYFUNCTION("""COMPUTED_VALUE"""),15)</f>
        <v>15</v>
      </c>
      <c r="N15" s="3"/>
      <c r="O15" s="3"/>
      <c r="P15" s="3" t="str">
        <f ca="1">IFERROR(__xludf.DUMMYFUNCTION("""COMPUTED_VALUE"""),"Pioneer")</f>
        <v>Pioneer</v>
      </c>
      <c r="Q15" s="3"/>
      <c r="R15" s="3" t="str">
        <f ca="1">IFERROR(__xludf.DUMMYFUNCTION("""COMPUTED_VALUE"""),"Book Fair")</f>
        <v>Book Fair</v>
      </c>
      <c r="S15" s="3"/>
      <c r="T15" s="3" t="str">
        <f ca="1">IFERROR(__xludf.DUMMYFUNCTION("""COMPUTED_VALUE"""),"Kennedy")</f>
        <v>Kennedy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IFERROR(__xludf.DUMMYFUNCTION("""COMPUTED_VALUE"""),45596.4539031018)</f>
        <v>45596.453903101799</v>
      </c>
      <c r="B16" s="3" t="str">
        <f ca="1">IFERROR(__xludf.DUMMYFUNCTION("""COMPUTED_VALUE"""),"charlottef@normanps.org")</f>
        <v>charlottef@normanps.org</v>
      </c>
      <c r="C16" s="3"/>
      <c r="D16" s="3"/>
      <c r="E16" s="3"/>
      <c r="F16" s="6">
        <f ca="1">IFERROR(__xludf.DUMMYFUNCTION("""COMPUTED_VALUE"""),601)</f>
        <v>601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IFERROR(__xludf.DUMMYFUNCTION("""COMPUTED_VALUE"""),"Kennedy")</f>
        <v>Kennedy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IFERROR(__xludf.DUMMYFUNCTION("""COMPUTED_VALUE"""),45603.6061574884)</f>
        <v>45603.606157488401</v>
      </c>
      <c r="B17" s="3" t="str">
        <f ca="1">IFERROR(__xludf.DUMMYFUNCTION("""COMPUTED_VALUE"""),"charlottef@normanps.org")</f>
        <v>charlottef@normanps.org</v>
      </c>
      <c r="C17" s="3"/>
      <c r="D17" s="3">
        <f ca="1">IFERROR(__xludf.DUMMYFUNCTION("""COMPUTED_VALUE"""),2)</f>
        <v>2</v>
      </c>
      <c r="E17" s="3"/>
      <c r="F17" s="6">
        <f ca="1">IFERROR(__xludf.DUMMYFUNCTION("""COMPUTED_VALUE"""),1297)</f>
        <v>1297</v>
      </c>
      <c r="G17" s="3">
        <f ca="1">IFERROR(__xludf.DUMMYFUNCTION("""COMPUTED_VALUE"""),23)</f>
        <v>23</v>
      </c>
      <c r="H17" s="3">
        <f ca="1">IFERROR(__xludf.DUMMYFUNCTION("""COMPUTED_VALUE"""),5)</f>
        <v>5</v>
      </c>
      <c r="I17" s="3" t="str">
        <f ca="1">IFERROR(__xludf.DUMMYFUNCTION("""COMPUTED_VALUE"""),"Collaborate")</f>
        <v>Collaborate</v>
      </c>
      <c r="J17" s="3" t="str">
        <f ca="1">IFERROR(__xludf.DUMMYFUNCTION("""COMPUTED_VALUE"""),"ELA")</f>
        <v>ELA</v>
      </c>
      <c r="K17" s="3" t="str">
        <f ca="1">IFERROR(__xludf.DUMMYFUNCTION("""COMPUTED_VALUE"""),"First")</f>
        <v>First</v>
      </c>
      <c r="L17" s="3" t="str">
        <f ca="1">IFERROR(__xludf.DUMMYFUNCTION("""COMPUTED_VALUE"""),"Popsicle Sticks")</f>
        <v>Popsicle Sticks</v>
      </c>
      <c r="M17" s="3"/>
      <c r="N17" s="3"/>
      <c r="O17" s="3"/>
      <c r="P17" s="3" t="str">
        <f ca="1">IFERROR(__xludf.DUMMYFUNCTION("""COMPUTED_VALUE"""),"Pioneer Library")</f>
        <v>Pioneer Library</v>
      </c>
      <c r="Q17" s="3"/>
      <c r="R17" s="3"/>
      <c r="S17" s="3"/>
      <c r="T17" s="3" t="str">
        <f ca="1">IFERROR(__xludf.DUMMYFUNCTION("""COMPUTED_VALUE"""),"Kennedy")</f>
        <v>Kennedy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IFERROR(__xludf.DUMMYFUNCTION("""COMPUTED_VALUE"""),45603.6072548726)</f>
        <v>45603.607254872601</v>
      </c>
      <c r="B18" s="3" t="str">
        <f ca="1">IFERROR(__xludf.DUMMYFUNCTION("""COMPUTED_VALUE"""),"charlottef@normanps.org")</f>
        <v>charlottef@normanps.org</v>
      </c>
      <c r="C18" s="3"/>
      <c r="D18" s="3">
        <f ca="1">IFERROR(__xludf.DUMMYFUNCTION("""COMPUTED_VALUE"""),2)</f>
        <v>2</v>
      </c>
      <c r="E18" s="3"/>
      <c r="F18" s="6"/>
      <c r="G18" s="3"/>
      <c r="H18" s="3"/>
      <c r="I18" s="3" t="str">
        <f ca="1">IFERROR(__xludf.DUMMYFUNCTION("""COMPUTED_VALUE"""),"Explore")</f>
        <v>Explore</v>
      </c>
      <c r="J18" s="3" t="str">
        <f ca="1">IFERROR(__xludf.DUMMYFUNCTION("""COMPUTED_VALUE"""),"ELA")</f>
        <v>ELA</v>
      </c>
      <c r="K18" s="3" t="str">
        <f ca="1">IFERROR(__xludf.DUMMYFUNCTION("""COMPUTED_VALUE"""),"Autism/SPED multi-level elementary")</f>
        <v>Autism/SPED multi-level elementary</v>
      </c>
      <c r="L18" s="3"/>
      <c r="M18" s="3"/>
      <c r="N18" s="3"/>
      <c r="O18" s="3"/>
      <c r="P18" s="3" t="str">
        <f ca="1">IFERROR(__xludf.DUMMYFUNCTION("""COMPUTED_VALUE"""),"Pioneer Library")</f>
        <v>Pioneer Library</v>
      </c>
      <c r="Q18" s="3"/>
      <c r="R18" s="3" t="str">
        <f ca="1">IFERROR(__xludf.DUMMYFUNCTION("""COMPUTED_VALUE"""),"Career Day")</f>
        <v>Career Day</v>
      </c>
      <c r="S18" s="3"/>
      <c r="T18" s="3" t="str">
        <f ca="1">IFERROR(__xludf.DUMMYFUNCTION("""COMPUTED_VALUE"""),"Kennedy")</f>
        <v>Kennedy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IFERROR(__xludf.DUMMYFUNCTION("""COMPUTED_VALUE"""),45608.5872231944)</f>
        <v>45608.587223194401</v>
      </c>
      <c r="B19" s="3" t="str">
        <f ca="1">IFERROR(__xludf.DUMMYFUNCTION("""COMPUTED_VALUE"""),"charlottef@normanps.org")</f>
        <v>charlottef@normanps.org</v>
      </c>
      <c r="C19" s="3"/>
      <c r="D19" s="3">
        <f ca="1">IFERROR(__xludf.DUMMYFUNCTION("""COMPUTED_VALUE"""),2)</f>
        <v>2</v>
      </c>
      <c r="E19" s="3"/>
      <c r="F19" s="6"/>
      <c r="G19" s="3">
        <f ca="1">IFERROR(__xludf.DUMMYFUNCTION("""COMPUTED_VALUE"""),23)</f>
        <v>23</v>
      </c>
      <c r="H19" s="3">
        <f ca="1">IFERROR(__xludf.DUMMYFUNCTION("""COMPUTED_VALUE"""),4)</f>
        <v>4</v>
      </c>
      <c r="I19" s="3" t="str">
        <f ca="1">IFERROR(__xludf.DUMMYFUNCTION("""COMPUTED_VALUE"""),"Collaborate")</f>
        <v>Collaborate</v>
      </c>
      <c r="J19" s="3" t="str">
        <f ca="1">IFERROR(__xludf.DUMMYFUNCTION("""COMPUTED_VALUE"""),"ELA")</f>
        <v>ELA</v>
      </c>
      <c r="K19" s="3" t="str">
        <f ca="1">IFERROR(__xludf.DUMMYFUNCTION("""COMPUTED_VALUE"""),"Autism/SPED multi-level elementary")</f>
        <v>Autism/SPED multi-level elementary</v>
      </c>
      <c r="L19" s="3" t="str">
        <f ca="1">IFERROR(__xludf.DUMMYFUNCTION("""COMPUTED_VALUE"""),"Plus-plus")</f>
        <v>Plus-plus</v>
      </c>
      <c r="M19" s="3"/>
      <c r="N19" s="3"/>
      <c r="O19" s="3"/>
      <c r="P19" s="3" t="str">
        <f ca="1">IFERROR(__xludf.DUMMYFUNCTION("""COMPUTED_VALUE"""),"Pioneer Library")</f>
        <v>Pioneer Library</v>
      </c>
      <c r="Q19" s="3"/>
      <c r="R19" s="3" t="str">
        <f ca="1">IFERROR(__xludf.DUMMYFUNCTION("""COMPUTED_VALUE"""),"Career Day")</f>
        <v>Career Day</v>
      </c>
      <c r="S19" s="3">
        <f ca="1">IFERROR(__xludf.DUMMYFUNCTION("""COMPUTED_VALUE"""),2)</f>
        <v>2</v>
      </c>
      <c r="T19" s="3" t="str">
        <f ca="1">IFERROR(__xludf.DUMMYFUNCTION("""COMPUTED_VALUE"""),"Kennedy")</f>
        <v>Kennedy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IFERROR(__xludf.DUMMYFUNCTION("""COMPUTED_VALUE"""),45628.377515868)</f>
        <v>45628.377515868</v>
      </c>
      <c r="B20" s="3" t="str">
        <f ca="1">IFERROR(__xludf.DUMMYFUNCTION("""COMPUTED_VALUE"""),"charlottef@normanps.org")</f>
        <v>charlottef@normanps.org</v>
      </c>
      <c r="C20" s="3"/>
      <c r="D20" s="3">
        <f ca="1">IFERROR(__xludf.DUMMYFUNCTION("""COMPUTED_VALUE"""),4)</f>
        <v>4</v>
      </c>
      <c r="E20" s="3"/>
      <c r="F20" s="6"/>
      <c r="G20" s="3">
        <f ca="1">IFERROR(__xludf.DUMMYFUNCTION("""COMPUTED_VALUE"""),23)</f>
        <v>23</v>
      </c>
      <c r="H20" s="3">
        <f ca="1">IFERROR(__xludf.DUMMYFUNCTION("""COMPUTED_VALUE"""),3)</f>
        <v>3</v>
      </c>
      <c r="I20" s="3" t="str">
        <f ca="1">IFERROR(__xludf.DUMMYFUNCTION("""COMPUTED_VALUE"""),"Inquire")</f>
        <v>Inquire</v>
      </c>
      <c r="J20" s="3" t="str">
        <f ca="1">IFERROR(__xludf.DUMMYFUNCTION("""COMPUTED_VALUE"""),"Social Studies")</f>
        <v>Social Studies</v>
      </c>
      <c r="K20" s="3" t="str">
        <f ca="1">IFERROR(__xludf.DUMMYFUNCTION("""COMPUTED_VALUE"""),"Fourth")</f>
        <v>Fourth</v>
      </c>
      <c r="L20" s="3"/>
      <c r="M20" s="3"/>
      <c r="N20" s="3"/>
      <c r="O20" s="3"/>
      <c r="P20" s="3"/>
      <c r="Q20" s="3"/>
      <c r="R20" s="3" t="str">
        <f ca="1">IFERROR(__xludf.DUMMYFUNCTION("""COMPUTED_VALUE"""),"Career Day")</f>
        <v>Career Day</v>
      </c>
      <c r="S20" s="3"/>
      <c r="T20" s="3" t="str">
        <f ca="1">IFERROR(__xludf.DUMMYFUNCTION("""COMPUTED_VALUE"""),"Kennedy")</f>
        <v>Kennedy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IFERROR(__xludf.DUMMYFUNCTION("""COMPUTED_VALUE"""),45628.3779591782)</f>
        <v>45628.3779591782</v>
      </c>
      <c r="B21" s="3" t="str">
        <f ca="1">IFERROR(__xludf.DUMMYFUNCTION("""COMPUTED_VALUE"""),"charlottef@normanps.org")</f>
        <v>charlottef@normanps.org</v>
      </c>
      <c r="C21" s="3"/>
      <c r="D21" s="3"/>
      <c r="E21" s="3"/>
      <c r="F21" s="6"/>
      <c r="G21" s="3"/>
      <c r="H21" s="3"/>
      <c r="I21" s="3"/>
      <c r="J21" s="3" t="str">
        <f ca="1">IFERROR(__xludf.DUMMYFUNCTION("""COMPUTED_VALUE"""),"Science")</f>
        <v>Science</v>
      </c>
      <c r="K21" s="3" t="str">
        <f ca="1">IFERROR(__xludf.DUMMYFUNCTION("""COMPUTED_VALUE"""),"Elementary multi-grade class")</f>
        <v>Elementary multi-grade class</v>
      </c>
      <c r="L21" s="3"/>
      <c r="M21" s="3"/>
      <c r="N21" s="3"/>
      <c r="O21" s="3"/>
      <c r="P21" s="3"/>
      <c r="Q21" s="3"/>
      <c r="R21" s="3" t="str">
        <f ca="1">IFERROR(__xludf.DUMMYFUNCTION("""COMPUTED_VALUE"""),"Touch-A-Truck")</f>
        <v>Touch-A-Truck</v>
      </c>
      <c r="S21" s="3"/>
      <c r="T21" s="3" t="str">
        <f ca="1">IFERROR(__xludf.DUMMYFUNCTION("""COMPUTED_VALUE"""),"Kennedy")</f>
        <v>Kennedy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IFERROR(__xludf.DUMMYFUNCTION("""COMPUTED_VALUE"""),45628.379092581)</f>
        <v>45628.379092581003</v>
      </c>
      <c r="B22" s="3" t="str">
        <f ca="1">IFERROR(__xludf.DUMMYFUNCTION("""COMPUTED_VALUE"""),"charlottef@normanps.org")</f>
        <v>charlottef@normanps.org</v>
      </c>
      <c r="C22" s="3"/>
      <c r="D22" s="3">
        <f ca="1">IFERROR(__xludf.DUMMYFUNCTION("""COMPUTED_VALUE"""),4)</f>
        <v>4</v>
      </c>
      <c r="E22" s="3"/>
      <c r="F22" s="6"/>
      <c r="G22" s="3">
        <f ca="1">IFERROR(__xludf.DUMMYFUNCTION("""COMPUTED_VALUE"""),18)</f>
        <v>18</v>
      </c>
      <c r="H22" s="3">
        <f ca="1">IFERROR(__xludf.DUMMYFUNCTION("""COMPUTED_VALUE"""),3)</f>
        <v>3</v>
      </c>
      <c r="I22" s="3" t="str">
        <f ca="1">IFERROR(__xludf.DUMMYFUNCTION("""COMPUTED_VALUE"""),"Curate")</f>
        <v>Curate</v>
      </c>
      <c r="J22" s="3" t="str">
        <f ca="1">IFERROR(__xludf.DUMMYFUNCTION("""COMPUTED_VALUE"""),"Social Studies")</f>
        <v>Social Studies</v>
      </c>
      <c r="K22" s="3" t="str">
        <f ca="1">IFERROR(__xludf.DUMMYFUNCTION("""COMPUTED_VALUE"""),"Fourth")</f>
        <v>Fourth</v>
      </c>
      <c r="L22" s="3"/>
      <c r="M22" s="3">
        <f ca="1">IFERROR(__xludf.DUMMYFUNCTION("""COMPUTED_VALUE"""),8)</f>
        <v>8</v>
      </c>
      <c r="N22" s="3"/>
      <c r="O22" s="3"/>
      <c r="P22" s="3" t="str">
        <f ca="1">IFERROR(__xludf.DUMMYFUNCTION("""COMPUTED_VALUE"""),"Pioneer")</f>
        <v>Pioneer</v>
      </c>
      <c r="Q22" s="3"/>
      <c r="R22" s="3" t="str">
        <f ca="1">IFERROR(__xludf.DUMMYFUNCTION("""COMPUTED_VALUE"""),"Literacy Night")</f>
        <v>Literacy Night</v>
      </c>
      <c r="S22" s="3"/>
      <c r="T22" s="3" t="str">
        <f ca="1">IFERROR(__xludf.DUMMYFUNCTION("""COMPUTED_VALUE"""),"Kennedy")</f>
        <v>Kennedy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IFERROR(__xludf.DUMMYFUNCTION("""COMPUTED_VALUE"""),45642.406538831)</f>
        <v>45642.406538830997</v>
      </c>
      <c r="B23" s="3" t="str">
        <f ca="1">IFERROR(__xludf.DUMMYFUNCTION("""COMPUTED_VALUE"""),"charlottef@normanps.org")</f>
        <v>charlottef@normanps.org</v>
      </c>
      <c r="C23" s="3"/>
      <c r="D23" s="3">
        <f ca="1">IFERROR(__xludf.DUMMYFUNCTION("""COMPUTED_VALUE"""),8)</f>
        <v>8</v>
      </c>
      <c r="E23" s="3"/>
      <c r="F23" s="6"/>
      <c r="G23" s="3">
        <f ca="1">IFERROR(__xludf.DUMMYFUNCTION("""COMPUTED_VALUE"""),30)</f>
        <v>30</v>
      </c>
      <c r="H23" s="3">
        <f ca="1">IFERROR(__xludf.DUMMYFUNCTION("""COMPUTED_VALUE"""),6)</f>
        <v>6</v>
      </c>
      <c r="I23" s="3" t="str">
        <f ca="1">IFERROR(__xludf.DUMMYFUNCTION("""COMPUTED_VALUE"""),"Collaborate")</f>
        <v>Collaborate</v>
      </c>
      <c r="J23" s="3" t="str">
        <f ca="1">IFERROR(__xludf.DUMMYFUNCTION("""COMPUTED_VALUE"""),"Social Studies")</f>
        <v>Social Studies</v>
      </c>
      <c r="K23" s="3" t="str">
        <f ca="1">IFERROR(__xludf.DUMMYFUNCTION("""COMPUTED_VALUE"""),"Fourth")</f>
        <v>Fourth</v>
      </c>
      <c r="L23" s="3"/>
      <c r="M23" s="3">
        <f ca="1">IFERROR(__xludf.DUMMYFUNCTION("""COMPUTED_VALUE"""),8)</f>
        <v>8</v>
      </c>
      <c r="N23" s="3"/>
      <c r="O23" s="3"/>
      <c r="P23" s="3"/>
      <c r="Q23" s="3"/>
      <c r="R23" s="3"/>
      <c r="S23" s="3"/>
      <c r="T23" s="3" t="str">
        <f ca="1">IFERROR(__xludf.DUMMYFUNCTION("""COMPUTED_VALUE"""),"Kennedy")</f>
        <v>Kennedy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IFERROR(__xludf.DUMMYFUNCTION("""COMPUTED_VALUE"""),45642.4072291782)</f>
        <v>45642.407229178199</v>
      </c>
      <c r="B24" s="3" t="str">
        <f ca="1">IFERROR(__xludf.DUMMYFUNCTION("""COMPUTED_VALUE"""),"charlottef@normanps.org")</f>
        <v>charlottef@normanps.org</v>
      </c>
      <c r="C24" s="3"/>
      <c r="D24" s="3">
        <f ca="1">IFERROR(__xludf.DUMMYFUNCTION("""COMPUTED_VALUE"""),8)</f>
        <v>8</v>
      </c>
      <c r="E24" s="3"/>
      <c r="F24" s="6"/>
      <c r="G24" s="3">
        <f ca="1">IFERROR(__xludf.DUMMYFUNCTION("""COMPUTED_VALUE"""),30)</f>
        <v>30</v>
      </c>
      <c r="H24" s="3">
        <f ca="1">IFERROR(__xludf.DUMMYFUNCTION("""COMPUTED_VALUE"""),4)</f>
        <v>4</v>
      </c>
      <c r="I24" s="3" t="str">
        <f ca="1">IFERROR(__xludf.DUMMYFUNCTION("""COMPUTED_VALUE"""),"Collaborate")</f>
        <v>Collaborate</v>
      </c>
      <c r="J24" s="3" t="str">
        <f ca="1">IFERROR(__xludf.DUMMYFUNCTION("""COMPUTED_VALUE"""),"Social Studies")</f>
        <v>Social Studies</v>
      </c>
      <c r="K24" s="3" t="str">
        <f ca="1">IFERROR(__xludf.DUMMYFUNCTION("""COMPUTED_VALUE"""),"Fourth")</f>
        <v>Fourth</v>
      </c>
      <c r="L24" s="3" t="str">
        <f ca="1">IFERROR(__xludf.DUMMYFUNCTION("""COMPUTED_VALUE"""),"Pom poms")</f>
        <v>Pom poms</v>
      </c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IFERROR(__xludf.DUMMYFUNCTION("""COMPUTED_VALUE"""),"Kennedy")</f>
        <v>Kennedy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IFERROR(__xludf.DUMMYFUNCTION("""COMPUTED_VALUE"""),45644.5346881134)</f>
        <v>45644.534688113403</v>
      </c>
      <c r="B25" s="3" t="str">
        <f ca="1">IFERROR(__xludf.DUMMYFUNCTION("""COMPUTED_VALUE"""),"sschrank@normanps.org")</f>
        <v>sschrank@normanps.org</v>
      </c>
      <c r="C25" s="3">
        <f ca="1">IFERROR(__xludf.DUMMYFUNCTION("""COMPUTED_VALUE"""),1657)</f>
        <v>1657</v>
      </c>
      <c r="D25" s="3"/>
      <c r="E25" s="3"/>
      <c r="F25" s="6"/>
      <c r="G25" s="3"/>
      <c r="H25" s="3"/>
      <c r="I25" s="3"/>
      <c r="J25" s="3"/>
      <c r="K25" s="3"/>
      <c r="L25" s="3"/>
      <c r="M25" s="3"/>
      <c r="N25" s="3">
        <f ca="1">IFERROR(__xludf.DUMMYFUNCTION("""COMPUTED_VALUE"""),14)</f>
        <v>14</v>
      </c>
      <c r="O25" s="3"/>
      <c r="P25" s="3"/>
      <c r="Q25" s="3"/>
      <c r="R25" s="3"/>
      <c r="S25" s="3"/>
      <c r="T25" s="3" t="str">
        <f ca="1">IFERROR(__xludf.DUMMYFUNCTION("""COMPUTED_VALUE"""),"Kennedy")</f>
        <v>Kennedy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IFERROR(__xludf.DUMMYFUNCTION("""COMPUTED_VALUE"""),45664.3658373495)</f>
        <v>45664.365837349498</v>
      </c>
      <c r="B26" s="3" t="str">
        <f ca="1">IFERROR(__xludf.DUMMYFUNCTION("""COMPUTED_VALUE"""),"charlottef@normanps.org")</f>
        <v>charlottef@normanps.org</v>
      </c>
      <c r="C26" s="3"/>
      <c r="D26" s="3">
        <f ca="1">IFERROR(__xludf.DUMMYFUNCTION("""COMPUTED_VALUE"""),8)</f>
        <v>8</v>
      </c>
      <c r="E26" s="3"/>
      <c r="F26" s="6"/>
      <c r="G26" s="3">
        <f ca="1">IFERROR(__xludf.DUMMYFUNCTION("""COMPUTED_VALUE"""),30)</f>
        <v>30</v>
      </c>
      <c r="H26" s="3">
        <f ca="1">IFERROR(__xludf.DUMMYFUNCTION("""COMPUTED_VALUE"""),5)</f>
        <v>5</v>
      </c>
      <c r="I26" s="3" t="str">
        <f ca="1">IFERROR(__xludf.DUMMYFUNCTION("""COMPUTED_VALUE"""),"Engage")</f>
        <v>Engage</v>
      </c>
      <c r="J26" s="3" t="str">
        <f ca="1">IFERROR(__xludf.DUMMYFUNCTION("""COMPUTED_VALUE"""),"Social Studies")</f>
        <v>Social Studies</v>
      </c>
      <c r="K26" s="3" t="str">
        <f ca="1">IFERROR(__xludf.DUMMYFUNCTION("""COMPUTED_VALUE"""),"Fourth")</f>
        <v>Fourth</v>
      </c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IFERROR(__xludf.DUMMYFUNCTION("""COMPUTED_VALUE"""),"Kennedy")</f>
        <v>Kennedy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IFERROR(__xludf.DUMMYFUNCTION("""COMPUTED_VALUE"""),45664.3662352083)</f>
        <v>45664.366235208297</v>
      </c>
      <c r="B27" s="3" t="str">
        <f ca="1">IFERROR(__xludf.DUMMYFUNCTION("""COMPUTED_VALUE"""),"charlottef@normanps.org")</f>
        <v>charlottef@normanps.org</v>
      </c>
      <c r="C27" s="3"/>
      <c r="D27" s="3">
        <f ca="1">IFERROR(__xludf.DUMMYFUNCTION("""COMPUTED_VALUE"""),2)</f>
        <v>2</v>
      </c>
      <c r="E27" s="3"/>
      <c r="F27" s="6"/>
      <c r="G27" s="3"/>
      <c r="H27" s="3"/>
      <c r="I27" s="3" t="str">
        <f ca="1">IFERROR(__xludf.DUMMYFUNCTION("""COMPUTED_VALUE"""),"Collaborate")</f>
        <v>Collaborate</v>
      </c>
      <c r="J27" s="3" t="str">
        <f ca="1">IFERROR(__xludf.DUMMYFUNCTION("""COMPUTED_VALUE"""),"Art")</f>
        <v>Art</v>
      </c>
      <c r="K27" s="3" t="str">
        <f ca="1">IFERROR(__xludf.DUMMYFUNCTION("""COMPUTED_VALUE"""),"Autism/SPED multi-level elementary")</f>
        <v>Autism/SPED multi-level elementary</v>
      </c>
      <c r="L27" s="3"/>
      <c r="M27" s="3"/>
      <c r="N27" s="3"/>
      <c r="O27" s="3"/>
      <c r="P27" s="3" t="str">
        <f ca="1">IFERROR(__xludf.DUMMYFUNCTION("""COMPUTED_VALUE"""),"Pioneer")</f>
        <v>Pioneer</v>
      </c>
      <c r="Q27" s="3"/>
      <c r="R27" s="3"/>
      <c r="S27" s="3"/>
      <c r="T27" s="3" t="str">
        <f ca="1">IFERROR(__xludf.DUMMYFUNCTION("""COMPUTED_VALUE"""),"Kennedy")</f>
        <v>Kennedy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IFERROR(__xludf.DUMMYFUNCTION("""COMPUTED_VALUE"""),45672.3355486458)</f>
        <v>45672.335548645802</v>
      </c>
      <c r="B28" s="3" t="str">
        <f ca="1">IFERROR(__xludf.DUMMYFUNCTION("""COMPUTED_VALUE"""),"sschrank@normanps.org")</f>
        <v>sschrank@normanps.org</v>
      </c>
      <c r="C28" s="3">
        <f ca="1">IFERROR(__xludf.DUMMYFUNCTION("""COMPUTED_VALUE"""),749)</f>
        <v>749</v>
      </c>
      <c r="D28" s="3"/>
      <c r="E28" s="3"/>
      <c r="F28" s="6"/>
      <c r="G28" s="3"/>
      <c r="H28" s="3"/>
      <c r="I28" s="3"/>
      <c r="J28" s="3"/>
      <c r="K28" s="3"/>
      <c r="L28" s="3"/>
      <c r="M28" s="3"/>
      <c r="N28" s="3">
        <f ca="1">IFERROR(__xludf.DUMMYFUNCTION("""COMPUTED_VALUE"""),0)</f>
        <v>0</v>
      </c>
      <c r="O28" s="3"/>
      <c r="P28" s="3"/>
      <c r="Q28" s="3"/>
      <c r="R28" s="3"/>
      <c r="S28" s="3"/>
      <c r="T28" s="3" t="str">
        <f ca="1">IFERROR(__xludf.DUMMYFUNCTION("""COMPUTED_VALUE"""),"Kennedy")</f>
        <v>Kennedy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IFERROR(__xludf.DUMMYFUNCTION("""COMPUTED_VALUE"""),45693.4811360069)</f>
        <v>45693.4811360069</v>
      </c>
      <c r="B29" s="3" t="str">
        <f ca="1">IFERROR(__xludf.DUMMYFUNCTION("""COMPUTED_VALUE"""),"sschrank@normanps.org")</f>
        <v>sschrank@normanps.org</v>
      </c>
      <c r="C29" s="3">
        <f ca="1">IFERROR(__xludf.DUMMYFUNCTION("""COMPUTED_VALUE"""),631)</f>
        <v>631</v>
      </c>
      <c r="D29" s="3"/>
      <c r="E29" s="3"/>
      <c r="F29" s="6"/>
      <c r="G29" s="3"/>
      <c r="H29" s="3"/>
      <c r="I29" s="3"/>
      <c r="J29" s="3"/>
      <c r="K29" s="3"/>
      <c r="L29" s="3"/>
      <c r="M29" s="3"/>
      <c r="N29" s="3">
        <f ca="1">IFERROR(__xludf.DUMMYFUNCTION("""COMPUTED_VALUE"""),4)</f>
        <v>4</v>
      </c>
      <c r="O29" s="3"/>
      <c r="P29" s="3"/>
      <c r="Q29" s="3"/>
      <c r="R29" s="3"/>
      <c r="S29" s="3"/>
      <c r="T29" s="3" t="str">
        <f ca="1">IFERROR(__xludf.DUMMYFUNCTION("""COMPUTED_VALUE"""),"Kennedy")</f>
        <v>Kennedy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IFERROR(__xludf.DUMMYFUNCTION("""COMPUTED_VALUE"""),45699.3412756713)</f>
        <v>45699.341275671301</v>
      </c>
      <c r="B30" s="3" t="str">
        <f ca="1">IFERROR(__xludf.DUMMYFUNCTION("""COMPUTED_VALUE"""),"charlottef@normanps.org")</f>
        <v>charlottef@normanps.org</v>
      </c>
      <c r="C30" s="3"/>
      <c r="D30" s="3">
        <f ca="1">IFERROR(__xludf.DUMMYFUNCTION("""COMPUTED_VALUE"""),3)</f>
        <v>3</v>
      </c>
      <c r="E30" s="3"/>
      <c r="F30" s="6"/>
      <c r="G30" s="3">
        <f ca="1">IFERROR(__xludf.DUMMYFUNCTION("""COMPUTED_VALUE"""),18)</f>
        <v>18</v>
      </c>
      <c r="H30" s="3">
        <f ca="1">IFERROR(__xludf.DUMMYFUNCTION("""COMPUTED_VALUE"""),3)</f>
        <v>3</v>
      </c>
      <c r="I30" s="3" t="str">
        <f ca="1">IFERROR(__xludf.DUMMYFUNCTION("""COMPUTED_VALUE"""),"Collaborate")</f>
        <v>Collaborate</v>
      </c>
      <c r="J30" s="3" t="str">
        <f ca="1">IFERROR(__xludf.DUMMYFUNCTION("""COMPUTED_VALUE"""),"Social Studies")</f>
        <v>Social Studies</v>
      </c>
      <c r="K30" s="3" t="str">
        <f ca="1">IFERROR(__xludf.DUMMYFUNCTION("""COMPUTED_VALUE"""),"Fourth")</f>
        <v>Fourth</v>
      </c>
      <c r="L30" s="3" t="str">
        <f ca="1">IFERROR(__xludf.DUMMYFUNCTION("""COMPUTED_VALUE"""),"pipe cleaners")</f>
        <v>pipe cleaners</v>
      </c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IFERROR(__xludf.DUMMYFUNCTION("""COMPUTED_VALUE"""),"Kennedy")</f>
        <v>Kennedy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IFERROR(__xludf.DUMMYFUNCTION("""COMPUTED_VALUE"""),45699.3420609143)</f>
        <v>45699.3420609143</v>
      </c>
      <c r="B31" s="3" t="str">
        <f ca="1">IFERROR(__xludf.DUMMYFUNCTION("""COMPUTED_VALUE"""),"charlottef@normanps.org")</f>
        <v>charlottef@normanps.org</v>
      </c>
      <c r="C31" s="3"/>
      <c r="D31" s="3"/>
      <c r="E31" s="3"/>
      <c r="F31" s="6"/>
      <c r="G31" s="3">
        <f ca="1">IFERROR(__xludf.DUMMYFUNCTION("""COMPUTED_VALUE"""),42)</f>
        <v>42</v>
      </c>
      <c r="H31" s="3">
        <f ca="1">IFERROR(__xludf.DUMMYFUNCTION("""COMPUTED_VALUE"""),9)</f>
        <v>9</v>
      </c>
      <c r="I31" s="3" t="str">
        <f ca="1">IFERROR(__xludf.DUMMYFUNCTION("""COMPUTED_VALUE"""),"Inquire")</f>
        <v>Inquire</v>
      </c>
      <c r="J31" s="3"/>
      <c r="K31" s="3"/>
      <c r="L31" s="3"/>
      <c r="M31" s="3"/>
      <c r="N31" s="3"/>
      <c r="O31" s="3"/>
      <c r="P31" s="3"/>
      <c r="Q31" s="3"/>
      <c r="R31" s="3" t="str">
        <f ca="1">IFERROR(__xludf.DUMMYFUNCTION("""COMPUTED_VALUE"""),"Spelling Bee")</f>
        <v>Spelling Bee</v>
      </c>
      <c r="S31" s="3"/>
      <c r="T31" s="3" t="str">
        <f ca="1">IFERROR(__xludf.DUMMYFUNCTION("""COMPUTED_VALUE"""),"Kennedy")</f>
        <v>Kennedy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IFERROR(__xludf.DUMMYFUNCTION("""COMPUTED_VALUE"""),45699.3427353819)</f>
        <v>45699.342735381899</v>
      </c>
      <c r="B32" s="3" t="str">
        <f ca="1">IFERROR(__xludf.DUMMYFUNCTION("""COMPUTED_VALUE"""),"charlottef@normanps.org")</f>
        <v>charlottef@normanps.org</v>
      </c>
      <c r="C32" s="3"/>
      <c r="D32" s="3"/>
      <c r="E32" s="3"/>
      <c r="F32" s="6"/>
      <c r="G32" s="3">
        <f ca="1">IFERROR(__xludf.DUMMYFUNCTION("""COMPUTED_VALUE"""),42)</f>
        <v>42</v>
      </c>
      <c r="H32" s="3">
        <f ca="1">IFERROR(__xludf.DUMMYFUNCTION("""COMPUTED_VALUE"""),14)</f>
        <v>14</v>
      </c>
      <c r="I32" s="3"/>
      <c r="J32" s="3"/>
      <c r="K32" s="3"/>
      <c r="L32" s="3"/>
      <c r="M32" s="3"/>
      <c r="N32" s="3"/>
      <c r="O32" s="3"/>
      <c r="P32" s="3"/>
      <c r="Q32" s="3" t="str">
        <f ca="1">IFERROR(__xludf.DUMMYFUNCTION("""COMPUTED_VALUE"""),"GT Site Committee")</f>
        <v>GT Site Committee</v>
      </c>
      <c r="R32" s="3"/>
      <c r="S32" s="3"/>
      <c r="T32" s="3" t="str">
        <f ca="1">IFERROR(__xludf.DUMMYFUNCTION("""COMPUTED_VALUE"""),"Kennedy")</f>
        <v>Kennedy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IFERROR(__xludf.DUMMYFUNCTION("""COMPUTED_VALUE"""),45715.4549311689)</f>
        <v>45715.454931168897</v>
      </c>
      <c r="B33" s="3" t="str">
        <f ca="1">IFERROR(__xludf.DUMMYFUNCTION("""COMPUTED_VALUE"""),"charlottef@normanps.org")</f>
        <v>charlottef@normanps.org</v>
      </c>
      <c r="C33" s="3"/>
      <c r="D33" s="3">
        <f ca="1">IFERROR(__xludf.DUMMYFUNCTION("""COMPUTED_VALUE"""),4)</f>
        <v>4</v>
      </c>
      <c r="E33" s="3"/>
      <c r="F33" s="6"/>
      <c r="G33" s="3">
        <f ca="1">IFERROR(__xludf.DUMMYFUNCTION("""COMPUTED_VALUE"""),24)</f>
        <v>24</v>
      </c>
      <c r="H33" s="3">
        <f ca="1">IFERROR(__xludf.DUMMYFUNCTION("""COMPUTED_VALUE"""),2)</f>
        <v>2</v>
      </c>
      <c r="I33" s="3" t="str">
        <f ca="1">IFERROR(__xludf.DUMMYFUNCTION("""COMPUTED_VALUE"""),"Engage")</f>
        <v>Engage</v>
      </c>
      <c r="J33" s="3" t="str">
        <f ca="1">IFERROR(__xludf.DUMMYFUNCTION("""COMPUTED_VALUE"""),"ELA")</f>
        <v>ELA</v>
      </c>
      <c r="K33" s="3" t="str">
        <f ca="1">IFERROR(__xludf.DUMMYFUNCTION("""COMPUTED_VALUE"""),"Second")</f>
        <v>Second</v>
      </c>
      <c r="L33" s="3" t="str">
        <f ca="1">IFERROR(__xludf.DUMMYFUNCTION("""COMPUTED_VALUE"""),"Pipe cleaners")</f>
        <v>Pipe cleaners</v>
      </c>
      <c r="M33" s="3"/>
      <c r="N33" s="3"/>
      <c r="O33" s="3"/>
      <c r="P33" s="3"/>
      <c r="Q33" s="3"/>
      <c r="R33" s="3"/>
      <c r="S33" s="3"/>
      <c r="T33" s="3" t="str">
        <f ca="1">IFERROR(__xludf.DUMMYFUNCTION("""COMPUTED_VALUE"""),"Kennedy")</f>
        <v>Kennedy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IFERROR(__xludf.DUMMYFUNCTION("""COMPUTED_VALUE"""),45792.5976321527)</f>
        <v>45792.597632152698</v>
      </c>
      <c r="B34" s="3" t="str">
        <f ca="1">IFERROR(__xludf.DUMMYFUNCTION("""COMPUTED_VALUE"""),"charlottef@normanps.org")</f>
        <v>charlottef@normanps.org</v>
      </c>
      <c r="C34" s="3"/>
      <c r="D34" s="3">
        <f ca="1">IFERROR(__xludf.DUMMYFUNCTION("""COMPUTED_VALUE"""),4)</f>
        <v>4</v>
      </c>
      <c r="E34" s="3"/>
      <c r="F34" s="6"/>
      <c r="G34" s="3">
        <f ca="1">IFERROR(__xludf.DUMMYFUNCTION("""COMPUTED_VALUE"""),24)</f>
        <v>24</v>
      </c>
      <c r="H34" s="3">
        <f ca="1">IFERROR(__xludf.DUMMYFUNCTION("""COMPUTED_VALUE"""),4)</f>
        <v>4</v>
      </c>
      <c r="I34" s="3" t="str">
        <f ca="1">IFERROR(__xludf.DUMMYFUNCTION("""COMPUTED_VALUE"""),"Include")</f>
        <v>Include</v>
      </c>
      <c r="J34" s="3" t="str">
        <f ca="1">IFERROR(__xludf.DUMMYFUNCTION("""COMPUTED_VALUE"""),"ELA")</f>
        <v>ELA</v>
      </c>
      <c r="K34" s="3" t="str">
        <f ca="1">IFERROR(__xludf.DUMMYFUNCTION("""COMPUTED_VALUE"""),"Second")</f>
        <v>Second</v>
      </c>
      <c r="L34" s="3"/>
      <c r="M34" s="3"/>
      <c r="N34" s="3"/>
      <c r="O34" s="3"/>
      <c r="P34" s="3" t="str">
        <f ca="1">IFERROR(__xludf.DUMMYFUNCTION("""COMPUTED_VALUE"""),"Pioneer")</f>
        <v>Pioneer</v>
      </c>
      <c r="Q34" s="3" t="str">
        <f ca="1">IFERROR(__xludf.DUMMYFUNCTION("""COMPUTED_VALUE"""),"Staff Success and Communications")</f>
        <v>Staff Success and Communications</v>
      </c>
      <c r="R34" s="3" t="str">
        <f ca="1">IFERROR(__xludf.DUMMYFUNCTION("""COMPUTED_VALUE"""),"STEM Tank")</f>
        <v>STEM Tank</v>
      </c>
      <c r="S34" s="3"/>
      <c r="T34" s="3" t="str">
        <f ca="1">IFERROR(__xludf.DUMMYFUNCTION("""COMPUTED_VALUE"""),"Kennedy")</f>
        <v>Kennedy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IFERROR(__xludf.DUMMYFUNCTION("""COMPUTED_VALUE"""),45792.5983412384)</f>
        <v>45792.598341238401</v>
      </c>
      <c r="B35" s="3" t="str">
        <f ca="1">IFERROR(__xludf.DUMMYFUNCTION("""COMPUTED_VALUE"""),"charlottef@normanps.org")</f>
        <v>charlottef@normanps.org</v>
      </c>
      <c r="C35" s="3"/>
      <c r="D35" s="3">
        <f ca="1">IFERROR(__xludf.DUMMYFUNCTION("""COMPUTED_VALUE"""),4)</f>
        <v>4</v>
      </c>
      <c r="E35" s="3"/>
      <c r="F35" s="6"/>
      <c r="G35" s="3">
        <f ca="1">IFERROR(__xludf.DUMMYFUNCTION("""COMPUTED_VALUE"""),30)</f>
        <v>30</v>
      </c>
      <c r="H35" s="3">
        <f ca="1">IFERROR(__xludf.DUMMYFUNCTION("""COMPUTED_VALUE"""),2)</f>
        <v>2</v>
      </c>
      <c r="I35" s="3" t="str">
        <f ca="1">IFERROR(__xludf.DUMMYFUNCTION("""COMPUTED_VALUE"""),"Explore")</f>
        <v>Explore</v>
      </c>
      <c r="J35" s="3" t="str">
        <f ca="1">IFERROR(__xludf.DUMMYFUNCTION("""COMPUTED_VALUE"""),"Math")</f>
        <v>Math</v>
      </c>
      <c r="K35" s="3" t="str">
        <f ca="1">IFERROR(__xludf.DUMMYFUNCTION("""COMPUTED_VALUE"""),"First")</f>
        <v>First</v>
      </c>
      <c r="L35" s="3" t="str">
        <f ca="1">IFERROR(__xludf.DUMMYFUNCTION("""COMPUTED_VALUE"""),"Legos")</f>
        <v>Legos</v>
      </c>
      <c r="M35" s="3"/>
      <c r="N35" s="3"/>
      <c r="O35" s="3"/>
      <c r="P35" s="3"/>
      <c r="Q35" s="3"/>
      <c r="R35" s="3" t="str">
        <f ca="1">IFERROR(__xludf.DUMMYFUNCTION("""COMPUTED_VALUE"""),"Read Across America")</f>
        <v>Read Across America</v>
      </c>
      <c r="S35" s="3"/>
      <c r="T35" s="3" t="str">
        <f ca="1">IFERROR(__xludf.DUMMYFUNCTION("""COMPUTED_VALUE"""),"Kennedy")</f>
        <v>Kennedy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IFERROR(__xludf.DUMMYFUNCTION("""COMPUTED_VALUE"""),45792.5995889351)</f>
        <v>45792.599588935103</v>
      </c>
      <c r="B36" s="3" t="str">
        <f ca="1">IFERROR(__xludf.DUMMYFUNCTION("""COMPUTED_VALUE"""),"charlottef@normanps.org")</f>
        <v>charlottef@normanps.org</v>
      </c>
      <c r="C36" s="3"/>
      <c r="D36" s="3">
        <f ca="1">IFERROR(__xludf.DUMMYFUNCTION("""COMPUTED_VALUE"""),2)</f>
        <v>2</v>
      </c>
      <c r="E36" s="3"/>
      <c r="F36" s="6"/>
      <c r="G36" s="3">
        <f ca="1">IFERROR(__xludf.DUMMYFUNCTION("""COMPUTED_VALUE"""),18)</f>
        <v>18</v>
      </c>
      <c r="H36" s="3">
        <f ca="1">IFERROR(__xludf.DUMMYFUNCTION("""COMPUTED_VALUE"""),4)</f>
        <v>4</v>
      </c>
      <c r="I36" s="3" t="str">
        <f ca="1">IFERROR(__xludf.DUMMYFUNCTION("""COMPUTED_VALUE"""),"Explore")</f>
        <v>Explore</v>
      </c>
      <c r="J36" s="3" t="str">
        <f ca="1">IFERROR(__xludf.DUMMYFUNCTION("""COMPUTED_VALUE"""),"Art")</f>
        <v>Art</v>
      </c>
      <c r="K36" s="3" t="str">
        <f ca="1">IFERROR(__xludf.DUMMYFUNCTION("""COMPUTED_VALUE"""),"Autism/SPED multi-level elementary")</f>
        <v>Autism/SPED multi-level elementary</v>
      </c>
      <c r="L36" s="3" t="str">
        <f ca="1">IFERROR(__xludf.DUMMYFUNCTION("""COMPUTED_VALUE"""),"Pipe cleaners")</f>
        <v>Pipe cleaners</v>
      </c>
      <c r="M36" s="3"/>
      <c r="N36" s="3"/>
      <c r="O36" s="3"/>
      <c r="P36" s="3" t="str">
        <f ca="1">IFERROR(__xludf.DUMMYFUNCTION("""COMPUTED_VALUE"""),"Pioneer")</f>
        <v>Pioneer</v>
      </c>
      <c r="Q36" s="3"/>
      <c r="R36" s="3" t="str">
        <f ca="1">IFERROR(__xludf.DUMMYFUNCTION("""COMPUTED_VALUE"""),"OLA Conference")</f>
        <v>OLA Conference</v>
      </c>
      <c r="S36" s="3"/>
      <c r="T36" s="3" t="str">
        <f ca="1">IFERROR(__xludf.DUMMYFUNCTION("""COMPUTED_VALUE"""),"Kennedy")</f>
        <v>Kennedy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IFERROR(__xludf.DUMMYFUNCTION("""COMPUTED_VALUE"""),45792.6003052662)</f>
        <v>45792.600305266198</v>
      </c>
      <c r="B37" s="3" t="str">
        <f ca="1">IFERROR(__xludf.DUMMYFUNCTION("""COMPUTED_VALUE"""),"charlottef@normanps.org")</f>
        <v>charlottef@normanps.org</v>
      </c>
      <c r="C37" s="3"/>
      <c r="D37" s="3">
        <f ca="1">IFERROR(__xludf.DUMMYFUNCTION("""COMPUTED_VALUE"""),4)</f>
        <v>4</v>
      </c>
      <c r="E37" s="3"/>
      <c r="F37" s="6"/>
      <c r="G37" s="3"/>
      <c r="H37" s="3">
        <f ca="1">IFERROR(__xludf.DUMMYFUNCTION("""COMPUTED_VALUE"""),6)</f>
        <v>6</v>
      </c>
      <c r="I37" s="3" t="str">
        <f ca="1">IFERROR(__xludf.DUMMYFUNCTION("""COMPUTED_VALUE"""),"Inquire")</f>
        <v>Inquire</v>
      </c>
      <c r="J37" s="3" t="str">
        <f ca="1">IFERROR(__xludf.DUMMYFUNCTION("""COMPUTED_VALUE"""),"Art")</f>
        <v>Art</v>
      </c>
      <c r="K37" s="3" t="str">
        <f ca="1">IFERROR(__xludf.DUMMYFUNCTION("""COMPUTED_VALUE"""),"First")</f>
        <v>First</v>
      </c>
      <c r="L37" s="3"/>
      <c r="M37" s="3">
        <f ca="1">IFERROR(__xludf.DUMMYFUNCTION("""COMPUTED_VALUE"""),68)</f>
        <v>68</v>
      </c>
      <c r="N37" s="3"/>
      <c r="O37" s="3"/>
      <c r="P37" s="3" t="str">
        <f ca="1">IFERROR(__xludf.DUMMYFUNCTION("""COMPUTED_VALUE"""),"Pioneer")</f>
        <v>Pioneer</v>
      </c>
      <c r="Q37" s="3"/>
      <c r="R37" s="3" t="str">
        <f ca="1">IFERROR(__xludf.DUMMYFUNCTION("""COMPUTED_VALUE"""),"STEAM Night")</f>
        <v>STEAM Night</v>
      </c>
      <c r="S37" s="3"/>
      <c r="T37" s="3" t="str">
        <f ca="1">IFERROR(__xludf.DUMMYFUNCTION("""COMPUTED_VALUE"""),"Kennedy")</f>
        <v>Kennedy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IFERROR(__xludf.DUMMYFUNCTION("""COMPUTED_VALUE"""),45792.6007270023)</f>
        <v>45792.600727002296</v>
      </c>
      <c r="B38" s="3" t="str">
        <f ca="1">IFERROR(__xludf.DUMMYFUNCTION("""COMPUTED_VALUE"""),"charlottef@normanps.org")</f>
        <v>charlottef@normanps.org</v>
      </c>
      <c r="C38" s="3"/>
      <c r="D38" s="3"/>
      <c r="E38" s="3"/>
      <c r="F38" s="6"/>
      <c r="G38" s="3"/>
      <c r="H38" s="3"/>
      <c r="I38" s="3" t="str">
        <f ca="1">IFERROR(__xludf.DUMMYFUNCTION("""COMPUTED_VALUE"""),"Engage")</f>
        <v>Engage</v>
      </c>
      <c r="J38" s="3"/>
      <c r="K38" s="3"/>
      <c r="L38" s="3"/>
      <c r="M38" s="3"/>
      <c r="N38" s="3"/>
      <c r="O38" s="3"/>
      <c r="P38" s="3"/>
      <c r="Q38" s="3"/>
      <c r="R38" s="3" t="str">
        <f ca="1">IFERROR(__xludf.DUMMYFUNCTION("""COMPUTED_VALUE"""),"Planetarium")</f>
        <v>Planetarium</v>
      </c>
      <c r="S38" s="3"/>
      <c r="T38" s="3" t="str">
        <f ca="1">IFERROR(__xludf.DUMMYFUNCTION("""COMPUTED_VALUE"""),"Kennedy")</f>
        <v>Kennedy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IFERROR(__xludf.DUMMYFUNCTION("""COMPUTED_VALUE"""),45792.6017998726)</f>
        <v>45792.601799872602</v>
      </c>
      <c r="B39" s="3" t="str">
        <f ca="1">IFERROR(__xludf.DUMMYFUNCTION("""COMPUTED_VALUE"""),"charlottef@normanps.org")</f>
        <v>charlottef@normanps.org</v>
      </c>
      <c r="C39" s="3"/>
      <c r="D39" s="3">
        <f ca="1">IFERROR(__xludf.DUMMYFUNCTION("""COMPUTED_VALUE"""),4)</f>
        <v>4</v>
      </c>
      <c r="E39" s="3"/>
      <c r="F39" s="6"/>
      <c r="G39" s="3">
        <f ca="1">IFERROR(__xludf.DUMMYFUNCTION("""COMPUTED_VALUE"""),30)</f>
        <v>30</v>
      </c>
      <c r="H39" s="3">
        <f ca="1">IFERROR(__xludf.DUMMYFUNCTION("""COMPUTED_VALUE"""),3)</f>
        <v>3</v>
      </c>
      <c r="I39" s="3" t="str">
        <f ca="1">IFERROR(__xludf.DUMMYFUNCTION("""COMPUTED_VALUE"""),"Collaborate")</f>
        <v>Collaborate</v>
      </c>
      <c r="J39" s="3" t="str">
        <f ca="1">IFERROR(__xludf.DUMMYFUNCTION("""COMPUTED_VALUE"""),"ELA")</f>
        <v>ELA</v>
      </c>
      <c r="K39" s="3" t="str">
        <f ca="1">IFERROR(__xludf.DUMMYFUNCTION("""COMPUTED_VALUE"""),"Second")</f>
        <v>Second</v>
      </c>
      <c r="L39" s="3" t="str">
        <f ca="1">IFERROR(__xludf.DUMMYFUNCTION("""COMPUTED_VALUE"""),"Construction paper")</f>
        <v>Construction paper</v>
      </c>
      <c r="M39" s="3"/>
      <c r="N39" s="3"/>
      <c r="O39" s="3"/>
      <c r="P39" s="3" t="str">
        <f ca="1">IFERROR(__xludf.DUMMYFUNCTION("""COMPUTED_VALUE"""),"Pioneer")</f>
        <v>Pioneer</v>
      </c>
      <c r="Q39" s="3"/>
      <c r="R39" s="3" t="str">
        <f ca="1">IFERROR(__xludf.DUMMYFUNCTION("""COMPUTED_VALUE"""),"Geography Bee")</f>
        <v>Geography Bee</v>
      </c>
      <c r="S39" s="3"/>
      <c r="T39" s="3" t="str">
        <f ca="1">IFERROR(__xludf.DUMMYFUNCTION("""COMPUTED_VALUE"""),"Kennedy")</f>
        <v>Kennedy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IFERROR(__xludf.DUMMYFUNCTION("""COMPUTED_VALUE"""),45792.6020689236)</f>
        <v>45792.602068923603</v>
      </c>
      <c r="B40" s="3" t="str">
        <f ca="1">IFERROR(__xludf.DUMMYFUNCTION("""COMPUTED_VALUE"""),"charlottef@normanps.org")</f>
        <v>charlottef@normanps.org</v>
      </c>
      <c r="C40" s="3"/>
      <c r="D40" s="3">
        <f ca="1">IFERROR(__xludf.DUMMYFUNCTION("""COMPUTED_VALUE"""),6)</f>
        <v>6</v>
      </c>
      <c r="E40" s="3"/>
      <c r="F40" s="6"/>
      <c r="G40" s="3"/>
      <c r="H40" s="3"/>
      <c r="I40" s="3"/>
      <c r="J40" s="3" t="str">
        <f ca="1">IFERROR(__xludf.DUMMYFUNCTION("""COMPUTED_VALUE"""),"Art")</f>
        <v>Art</v>
      </c>
      <c r="K40" s="3" t="str">
        <f ca="1">IFERROR(__xludf.DUMMYFUNCTION("""COMPUTED_VALUE"""),"Fifth")</f>
        <v>Fifth</v>
      </c>
      <c r="L40" s="3"/>
      <c r="M40" s="3"/>
      <c r="N40" s="3"/>
      <c r="O40" s="3"/>
      <c r="P40" s="3"/>
      <c r="Q40" s="3"/>
      <c r="R40" s="3"/>
      <c r="S40" s="3"/>
      <c r="T40" s="3" t="str">
        <f ca="1">IFERROR(__xludf.DUMMYFUNCTION("""COMPUTED_VALUE"""),"Kennedy")</f>
        <v>Kennedy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IFERROR(__xludf.DUMMYFUNCTION("""COMPUTED_VALUE"""),45792.6033622685)</f>
        <v>45792.603362268499</v>
      </c>
      <c r="B41" s="3" t="str">
        <f ca="1">IFERROR(__xludf.DUMMYFUNCTION("""COMPUTED_VALUE"""),"charlottef@normanps.org")</f>
        <v>charlottef@normanps.org</v>
      </c>
      <c r="C41" s="3"/>
      <c r="D41" s="3">
        <f ca="1">IFERROR(__xludf.DUMMYFUNCTION("""COMPUTED_VALUE"""),11)</f>
        <v>11</v>
      </c>
      <c r="E41" s="3"/>
      <c r="F41" s="6"/>
      <c r="G41" s="3">
        <f ca="1">IFERROR(__xludf.DUMMYFUNCTION("""COMPUTED_VALUE"""),30)</f>
        <v>30</v>
      </c>
      <c r="H41" s="3">
        <f ca="1">IFERROR(__xludf.DUMMYFUNCTION("""COMPUTED_VALUE"""),5)</f>
        <v>5</v>
      </c>
      <c r="I41" s="3" t="str">
        <f ca="1">IFERROR(__xludf.DUMMYFUNCTION("""COMPUTED_VALUE"""),"Collaborate")</f>
        <v>Collaborate</v>
      </c>
      <c r="J41" s="3" t="str">
        <f ca="1">IFERROR(__xludf.DUMMYFUNCTION("""COMPUTED_VALUE"""),"Art")</f>
        <v>Art</v>
      </c>
      <c r="K41" s="3" t="str">
        <f ca="1">IFERROR(__xludf.DUMMYFUNCTION("""COMPUTED_VALUE"""),"Kindergarten")</f>
        <v>Kindergarten</v>
      </c>
      <c r="L41" s="3" t="str">
        <f ca="1">IFERROR(__xludf.DUMMYFUNCTION("""COMPUTED_VALUE"""),"Pattern scissors")</f>
        <v>Pattern scissors</v>
      </c>
      <c r="M41" s="3">
        <f ca="1">IFERROR(__xludf.DUMMYFUNCTION("""COMPUTED_VALUE"""),36)</f>
        <v>36</v>
      </c>
      <c r="N41" s="3"/>
      <c r="O41" s="3"/>
      <c r="P41" s="3"/>
      <c r="Q41" s="3"/>
      <c r="R41" s="3"/>
      <c r="S41" s="3"/>
      <c r="T41" s="3" t="str">
        <f ca="1">IFERROR(__xludf.DUMMYFUNCTION("""COMPUTED_VALUE"""),"Kennedy")</f>
        <v>Kennedy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f ca="1">IFERROR(__xludf.DUMMYFUNCTION("""COMPUTED_VALUE"""),45792.6036653703)</f>
        <v>45792.603665370298</v>
      </c>
      <c r="B42" s="3" t="str">
        <f ca="1">IFERROR(__xludf.DUMMYFUNCTION("""COMPUTED_VALUE"""),"charlottef@normanps.org")</f>
        <v>charlottef@normanps.org</v>
      </c>
      <c r="C42" s="3"/>
      <c r="D42" s="3"/>
      <c r="E42" s="3"/>
      <c r="F42" s="6"/>
      <c r="G42" s="3"/>
      <c r="H42" s="3"/>
      <c r="I42" s="3" t="str">
        <f ca="1">IFERROR(__xludf.DUMMYFUNCTION("""COMPUTED_VALUE"""),"Collaborate")</f>
        <v>Collaborate</v>
      </c>
      <c r="J42" s="3" t="str">
        <f ca="1">IFERROR(__xludf.DUMMYFUNCTION("""COMPUTED_VALUE"""),"Social Studies")</f>
        <v>Social Studies</v>
      </c>
      <c r="K42" s="3" t="str">
        <f ca="1">IFERROR(__xludf.DUMMYFUNCTION("""COMPUTED_VALUE"""),"Fourth")</f>
        <v>Fourth</v>
      </c>
      <c r="L42" s="3"/>
      <c r="M42" s="3"/>
      <c r="N42" s="3"/>
      <c r="O42" s="3"/>
      <c r="P42" s="3"/>
      <c r="Q42" s="3"/>
      <c r="R42" s="3"/>
      <c r="S42" s="3"/>
      <c r="T42" s="3" t="str">
        <f ca="1">IFERROR(__xludf.DUMMYFUNCTION("""COMPUTED_VALUE"""),"Kennedy")</f>
        <v>Kennedy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f ca="1">IFERROR(__xludf.DUMMYFUNCTION("""COMPUTED_VALUE"""),45792.6039458217)</f>
        <v>45792.603945821698</v>
      </c>
      <c r="B43" s="3" t="str">
        <f ca="1">IFERROR(__xludf.DUMMYFUNCTION("""COMPUTED_VALUE"""),"charlottef@normanps.org")</f>
        <v>charlottef@normanps.org</v>
      </c>
      <c r="C43" s="3"/>
      <c r="D43" s="3">
        <f ca="1">IFERROR(__xludf.DUMMYFUNCTION("""COMPUTED_VALUE"""),3)</f>
        <v>3</v>
      </c>
      <c r="E43" s="3"/>
      <c r="F43" s="6"/>
      <c r="G43" s="3"/>
      <c r="H43" s="3"/>
      <c r="I43" s="3" t="str">
        <f ca="1">IFERROR(__xludf.DUMMYFUNCTION("""COMPUTED_VALUE"""),"Collaborate")</f>
        <v>Collaborate</v>
      </c>
      <c r="J43" s="3" t="str">
        <f ca="1">IFERROR(__xludf.DUMMYFUNCTION("""COMPUTED_VALUE"""),"ELA")</f>
        <v>ELA</v>
      </c>
      <c r="K43" s="3" t="str">
        <f ca="1">IFERROR(__xludf.DUMMYFUNCTION("""COMPUTED_VALUE"""),"Fifth")</f>
        <v>Fifth</v>
      </c>
      <c r="L43" s="3"/>
      <c r="M43" s="3"/>
      <c r="N43" s="3"/>
      <c r="O43" s="3"/>
      <c r="P43" s="3"/>
      <c r="Q43" s="3"/>
      <c r="R43" s="3"/>
      <c r="S43" s="3"/>
      <c r="T43" s="3" t="str">
        <f ca="1">IFERROR(__xludf.DUMMYFUNCTION("""COMPUTED_VALUE"""),"Kennedy")</f>
        <v>Kennedy</v>
      </c>
      <c r="U43" s="3"/>
      <c r="V43" s="3"/>
      <c r="W43" s="3"/>
      <c r="X43" s="3"/>
      <c r="Y43" s="3"/>
      <c r="Z43" s="3"/>
      <c r="AA43" s="3"/>
      <c r="AB43" s="3"/>
      <c r="AC4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J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'Lakeview'"",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IFERROR(__xludf.DUMMYFUNCTION("""COMPUTED_VALUE"""),45527.5974260763)</f>
        <v>45527.597426076303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IFERROR(__xludf.DUMMYFUNCTION("""COMPUTED_VALUE"""),"Lakeview")</f>
        <v>Lakeview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IFERROR(__xludf.DUMMYFUNCTION("""COMPUTED_VALUE"""),45538.4163955671)</f>
        <v>45538.416395567103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IFERROR(__xludf.DUMMYFUNCTION("""COMPUTED_VALUE"""),546)</f>
        <v>546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IFERROR(__xludf.DUMMYFUNCTION("""COMPUTED_VALUE"""),123)</f>
        <v>123</v>
      </c>
      <c r="O3" s="3">
        <f ca="1">IFERROR(__xludf.DUMMYFUNCTION("""COMPUTED_VALUE"""),0)</f>
        <v>0</v>
      </c>
      <c r="P3" s="3"/>
      <c r="Q3" s="3"/>
      <c r="R3" s="3"/>
      <c r="S3" s="3"/>
      <c r="T3" s="3" t="str">
        <f ca="1">IFERROR(__xludf.DUMMYFUNCTION("""COMPUTED_VALUE"""),"Lakeview")</f>
        <v>Lakeview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IFERROR(__xludf.DUMMYFUNCTION("""COMPUTED_VALUE"""),45571.6504413657)</f>
        <v>45571.650441365702</v>
      </c>
      <c r="B4" s="3" t="str">
        <f ca="1">IFERROR(__xludf.DUMMYFUNCTION("""COMPUTED_VALUE"""),"rgordon@normanps.org")</f>
        <v>rgordon@normanps.org</v>
      </c>
      <c r="C4" s="3"/>
      <c r="D4" s="3">
        <f ca="1">IFERROR(__xludf.DUMMYFUNCTION("""COMPUTED_VALUE"""),13)</f>
        <v>13</v>
      </c>
      <c r="E4" s="3"/>
      <c r="F4" s="6">
        <f ca="1">IFERROR(__xludf.DUMMYFUNCTION("""COMPUTED_VALUE"""),0)</f>
        <v>0</v>
      </c>
      <c r="G4" s="3">
        <f ca="1">IFERROR(__xludf.DUMMYFUNCTION("""COMPUTED_VALUE"""),10)</f>
        <v>10</v>
      </c>
      <c r="H4" s="3">
        <f ca="1">IFERROR(__xludf.DUMMYFUNCTION("""COMPUTED_VALUE"""),50)</f>
        <v>50</v>
      </c>
      <c r="I4" s="3" t="str">
        <f ca="1">IFERROR(__xludf.DUMMYFUNCTION("""COMPUTED_VALUE"""),"Collaborate")</f>
        <v>Collaborate</v>
      </c>
      <c r="J4" s="3" t="str">
        <f ca="1">IFERROR(__xludf.DUMMYFUNCTION("""COMPUTED_VALUE"""),"ELA")</f>
        <v>ELA</v>
      </c>
      <c r="K4" s="3" t="str">
        <f ca="1">IFERROR(__xludf.DUMMYFUNCTION("""COMPUTED_VALUE"""),"Elementary multi-grade class")</f>
        <v>Elementary multi-grade class</v>
      </c>
      <c r="L4" s="3" t="str">
        <f ca="1">IFERROR(__xludf.DUMMYFUNCTION("""COMPUTED_VALUE"""),"Legos")</f>
        <v>Legos</v>
      </c>
      <c r="M4" s="3">
        <f ca="1">IFERROR(__xludf.DUMMYFUNCTION("""COMPUTED_VALUE"""),7)</f>
        <v>7</v>
      </c>
      <c r="N4" s="3"/>
      <c r="O4" s="3"/>
      <c r="P4" s="3" t="str">
        <f ca="1">IFERROR(__xludf.DUMMYFUNCTION("""COMPUTED_VALUE"""),"Pioneer Library System")</f>
        <v>Pioneer Library System</v>
      </c>
      <c r="Q4" s="3" t="str">
        <f ca="1">IFERROR(__xludf.DUMMYFUNCTION("""COMPUTED_VALUE"""),"Site Leadership PLC")</f>
        <v>Site Leadership PLC</v>
      </c>
      <c r="R4" s="3" t="str">
        <f ca="1">IFERROR(__xludf.DUMMYFUNCTION("""COMPUTED_VALUE"""),"Hispanic Heritage Month with Dr.Torres")</f>
        <v>Hispanic Heritage Month with Dr.Torres</v>
      </c>
      <c r="S4" s="3">
        <f ca="1">IFERROR(__xludf.DUMMYFUNCTION("""COMPUTED_VALUE"""),11)</f>
        <v>11</v>
      </c>
      <c r="T4" s="3" t="str">
        <f ca="1">IFERROR(__xludf.DUMMYFUNCTION("""COMPUTED_VALUE"""),"Lakeview")</f>
        <v>Lakeview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IFERROR(__xludf.DUMMYFUNCTION("""COMPUTED_VALUE"""),45571.6520866435)</f>
        <v>45571.652086643502</v>
      </c>
      <c r="B5" s="3" t="str">
        <f ca="1">IFERROR(__xludf.DUMMYFUNCTION("""COMPUTED_VALUE"""),"rgordon@normanps.org")</f>
        <v>rgordon@normanps.org</v>
      </c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 t="str">
        <f ca="1">IFERROR(__xludf.DUMMYFUNCTION("""COMPUTED_VALUE"""),"Dr.Heidi Torres")</f>
        <v>Dr.Heidi Torres</v>
      </c>
      <c r="Q5" s="3"/>
      <c r="R5" s="3" t="str">
        <f ca="1">IFERROR(__xludf.DUMMYFUNCTION("""COMPUTED_VALUE"""),"Learning Bus")</f>
        <v>Learning Bus</v>
      </c>
      <c r="S5" s="3"/>
      <c r="T5" s="3" t="str">
        <f ca="1">IFERROR(__xludf.DUMMYFUNCTION("""COMPUTED_VALUE"""),"Lakeview")</f>
        <v>Lakeview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IFERROR(__xludf.DUMMYFUNCTION("""COMPUTED_VALUE"""),45571.6524729629)</f>
        <v>45571.652472962902</v>
      </c>
      <c r="B6" s="3" t="str">
        <f ca="1">IFERROR(__xludf.DUMMYFUNCTION("""COMPUTED_VALUE"""),"rgordon@normanps.org")</f>
        <v>rgordon@normanps.org</v>
      </c>
      <c r="C6" s="3"/>
      <c r="D6" s="3"/>
      <c r="E6" s="3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tr">
        <f ca="1">IFERROR(__xludf.DUMMYFUNCTION("""COMPUTED_VALUE"""),"Giant Map Week ")</f>
        <v xml:space="preserve">Giant Map Week </v>
      </c>
      <c r="S6" s="3"/>
      <c r="T6" s="3" t="str">
        <f ca="1">IFERROR(__xludf.DUMMYFUNCTION("""COMPUTED_VALUE"""),"Lakeview")</f>
        <v>Lakeview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IFERROR(__xludf.DUMMYFUNCTION("""COMPUTED_VALUE"""),45571.6529318055)</f>
        <v>45571.652931805504</v>
      </c>
      <c r="B7" s="3" t="str">
        <f ca="1">IFERROR(__xludf.DUMMYFUNCTION("""COMPUTED_VALUE"""),"rgordon@normanps.org")</f>
        <v>rgordon@normanps.org</v>
      </c>
      <c r="C7" s="3"/>
      <c r="D7" s="3"/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tr">
        <f ca="1">IFERROR(__xludf.DUMMYFUNCTION("""COMPUTED_VALUE"""),"Obstacle Course for Prek-2nd with Pioneer ")</f>
        <v xml:space="preserve">Obstacle Course for Prek-2nd with Pioneer </v>
      </c>
      <c r="S7" s="3"/>
      <c r="T7" s="3" t="str">
        <f ca="1">IFERROR(__xludf.DUMMYFUNCTION("""COMPUTED_VALUE"""),"Lakeview")</f>
        <v>Lakeview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IFERROR(__xludf.DUMMYFUNCTION("""COMPUTED_VALUE"""),45572.640214699)</f>
        <v>45572.640214699</v>
      </c>
      <c r="B8" s="3" t="str">
        <f ca="1">IFERROR(__xludf.DUMMYFUNCTION("""COMPUTED_VALUE"""),"rgordon@normanps.org")</f>
        <v>rgordon@normanps.org</v>
      </c>
      <c r="C8" s="3"/>
      <c r="D8" s="3">
        <f ca="1">IFERROR(__xludf.DUMMYFUNCTION("""COMPUTED_VALUE"""),135)</f>
        <v>135</v>
      </c>
      <c r="E8" s="3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tr">
        <f ca="1">IFERROR(__xludf.DUMMYFUNCTION("""COMPUTED_VALUE"""),"Pumpkin Book Character Contest")</f>
        <v>Pumpkin Book Character Contest</v>
      </c>
      <c r="S8" s="3"/>
      <c r="T8" s="3" t="str">
        <f ca="1">IFERROR(__xludf.DUMMYFUNCTION("""COMPUTED_VALUE"""),"Lakeview")</f>
        <v>Lakeview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IFERROR(__xludf.DUMMYFUNCTION("""COMPUTED_VALUE"""),45573.4157088541)</f>
        <v>45573.415708854103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IFERROR(__xludf.DUMMYFUNCTION("""COMPUTED_VALUE"""),970)</f>
        <v>970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IFERROR(__xludf.DUMMYFUNCTION("""COMPUTED_VALUE"""),18)</f>
        <v>18</v>
      </c>
      <c r="O9" s="3"/>
      <c r="P9" s="3"/>
      <c r="Q9" s="3"/>
      <c r="R9" s="3"/>
      <c r="S9" s="3"/>
      <c r="T9" s="3" t="str">
        <f ca="1">IFERROR(__xludf.DUMMYFUNCTION("""COMPUTED_VALUE"""),"Lakeview")</f>
        <v>Lakeview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IFERROR(__xludf.DUMMYFUNCTION("""COMPUTED_VALUE"""),45644.5354587962)</f>
        <v>45644.535458796199</v>
      </c>
      <c r="B10" s="3" t="str">
        <f ca="1">IFERROR(__xludf.DUMMYFUNCTION("""COMPUTED_VALUE"""),"sschrank@normanps.org")</f>
        <v>sschrank@normanps.org</v>
      </c>
      <c r="C10" s="3">
        <f ca="1">IFERROR(__xludf.DUMMYFUNCTION("""COMPUTED_VALUE"""),1477)</f>
        <v>1477</v>
      </c>
      <c r="D10" s="3"/>
      <c r="E10" s="3"/>
      <c r="F10" s="6"/>
      <c r="G10" s="3"/>
      <c r="H10" s="3"/>
      <c r="I10" s="3"/>
      <c r="J10" s="3"/>
      <c r="K10" s="3"/>
      <c r="L10" s="3"/>
      <c r="M10" s="3"/>
      <c r="N10" s="3">
        <f ca="1">IFERROR(__xludf.DUMMYFUNCTION("""COMPUTED_VALUE"""),35)</f>
        <v>35</v>
      </c>
      <c r="O10" s="3"/>
      <c r="P10" s="3"/>
      <c r="Q10" s="3"/>
      <c r="R10" s="3"/>
      <c r="S10" s="3"/>
      <c r="T10" s="3" t="str">
        <f ca="1">IFERROR(__xludf.DUMMYFUNCTION("""COMPUTED_VALUE"""),"Lakeview")</f>
        <v>Lakeview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IFERROR(__xludf.DUMMYFUNCTION("""COMPUTED_VALUE"""),45664.3248799421)</f>
        <v>45664.324879942098</v>
      </c>
      <c r="B11" s="3" t="str">
        <f ca="1">IFERROR(__xludf.DUMMYFUNCTION("""COMPUTED_VALUE"""),"rgordon@normanps.org")</f>
        <v>rgordon@normanps.org</v>
      </c>
      <c r="C11" s="3"/>
      <c r="D11" s="3">
        <f ca="1">IFERROR(__xludf.DUMMYFUNCTION("""COMPUTED_VALUE"""),360)</f>
        <v>360</v>
      </c>
      <c r="E11" s="3"/>
      <c r="F11" s="6">
        <f ca="1">IFERROR(__xludf.DUMMYFUNCTION("""COMPUTED_VALUE"""),11000)</f>
        <v>11000</v>
      </c>
      <c r="G11" s="3">
        <f ca="1">IFERROR(__xludf.DUMMYFUNCTION("""COMPUTED_VALUE"""),25)</f>
        <v>25</v>
      </c>
      <c r="H11" s="3">
        <f ca="1">IFERROR(__xludf.DUMMYFUNCTION("""COMPUTED_VALUE"""),75)</f>
        <v>75</v>
      </c>
      <c r="I11" s="3" t="str">
        <f ca="1">IFERROR(__xludf.DUMMYFUNCTION("""COMPUTED_VALUE"""),"Inquire")</f>
        <v>Inquire</v>
      </c>
      <c r="J11" s="3" t="str">
        <f ca="1">IFERROR(__xludf.DUMMYFUNCTION("""COMPUTED_VALUE"""),"Social Studies")</f>
        <v>Social Studies</v>
      </c>
      <c r="K11" s="3" t="str">
        <f ca="1">IFERROR(__xludf.DUMMYFUNCTION("""COMPUTED_VALUE"""),"Third")</f>
        <v>Third</v>
      </c>
      <c r="L11" s="3" t="str">
        <f ca="1">IFERROR(__xludf.DUMMYFUNCTION("""COMPUTED_VALUE"""),"Legos")</f>
        <v>Legos</v>
      </c>
      <c r="M11" s="3">
        <f ca="1">IFERROR(__xludf.DUMMYFUNCTION("""COMPUTED_VALUE"""),20)</f>
        <v>20</v>
      </c>
      <c r="N11" s="3"/>
      <c r="O11" s="3"/>
      <c r="P11" s="3"/>
      <c r="Q11" s="3" t="str">
        <f ca="1">IFERROR(__xludf.DUMMYFUNCTION("""COMPUTED_VALUE"""),"OKSTE presentation ")</f>
        <v xml:space="preserve">OKSTE presentation </v>
      </c>
      <c r="R11" s="3" t="str">
        <f ca="1">IFERROR(__xludf.DUMMYFUNCTION("""COMPUTED_VALUE"""),"Native American History Month with Dr.Torres")</f>
        <v>Native American History Month with Dr.Torres</v>
      </c>
      <c r="S11" s="3">
        <f ca="1">IFERROR(__xludf.DUMMYFUNCTION("""COMPUTED_VALUE"""),12)</f>
        <v>12</v>
      </c>
      <c r="T11" s="3" t="str">
        <f ca="1">IFERROR(__xludf.DUMMYFUNCTION("""COMPUTED_VALUE"""),"Lakeview")</f>
        <v>Lakeview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IFERROR(__xludf.DUMMYFUNCTION("""COMPUTED_VALUE"""),45664.3255519907)</f>
        <v>45664.325551990703</v>
      </c>
      <c r="B12" s="3" t="str">
        <f ca="1">IFERROR(__xludf.DUMMYFUNCTION("""COMPUTED_VALUE"""),"rgordon@normanps.org")</f>
        <v>rgordon@normanps.org</v>
      </c>
      <c r="C12" s="3"/>
      <c r="D12" s="3"/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 t="str">
        <f ca="1">IFERROR(__xludf.DUMMYFUNCTION("""COMPUTED_VALUE"""),"Makerspace Day with Pioneer Library System")</f>
        <v>Makerspace Day with Pioneer Library System</v>
      </c>
      <c r="S12" s="3"/>
      <c r="T12" s="3" t="str">
        <f ca="1">IFERROR(__xludf.DUMMYFUNCTION("""COMPUTED_VALUE"""),"Lakeview")</f>
        <v>Lakeview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IFERROR(__xludf.DUMMYFUNCTION("""COMPUTED_VALUE"""),45664.3258590393)</f>
        <v>45664.325859039302</v>
      </c>
      <c r="B13" s="3" t="str">
        <f ca="1">IFERROR(__xludf.DUMMYFUNCTION("""COMPUTED_VALUE"""),"rgordon@normanps.org")</f>
        <v>rgordon@normanps.org</v>
      </c>
      <c r="C13" s="3"/>
      <c r="D13" s="3"/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tr">
        <f ca="1">IFERROR(__xludf.DUMMYFUNCTION("""COMPUTED_VALUE"""),"Beebots with Pioneer")</f>
        <v>Beebots with Pioneer</v>
      </c>
      <c r="S13" s="3"/>
      <c r="T13" s="3" t="str">
        <f ca="1">IFERROR(__xludf.DUMMYFUNCTION("""COMPUTED_VALUE"""),"Lakeview")</f>
        <v>Lakeview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IFERROR(__xludf.DUMMYFUNCTION("""COMPUTED_VALUE"""),45672.3359473726)</f>
        <v>45672.335947372601</v>
      </c>
      <c r="B14" s="3" t="str">
        <f ca="1">IFERROR(__xludf.DUMMYFUNCTION("""COMPUTED_VALUE"""),"sschrank@normanps.org")</f>
        <v>sschrank@normanps.org</v>
      </c>
      <c r="C14" s="3">
        <f ca="1">IFERROR(__xludf.DUMMYFUNCTION("""COMPUTED_VALUE"""),479)</f>
        <v>479</v>
      </c>
      <c r="D14" s="3"/>
      <c r="E14" s="3"/>
      <c r="F14" s="6"/>
      <c r="G14" s="3"/>
      <c r="H14" s="3"/>
      <c r="I14" s="3"/>
      <c r="J14" s="3"/>
      <c r="K14" s="3"/>
      <c r="L14" s="3"/>
      <c r="M14" s="3"/>
      <c r="N14" s="3">
        <f ca="1">IFERROR(__xludf.DUMMYFUNCTION("""COMPUTED_VALUE"""),18)</f>
        <v>18</v>
      </c>
      <c r="O14" s="3"/>
      <c r="P14" s="3"/>
      <c r="Q14" s="3"/>
      <c r="R14" s="3"/>
      <c r="S14" s="3"/>
      <c r="T14" s="3" t="str">
        <f ca="1">IFERROR(__xludf.DUMMYFUNCTION("""COMPUTED_VALUE"""),"Lakeview")</f>
        <v>Lakeview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IFERROR(__xludf.DUMMYFUNCTION("""COMPUTED_VALUE"""),45693.4814885879)</f>
        <v>45693.481488587902</v>
      </c>
      <c r="B15" s="3" t="str">
        <f ca="1">IFERROR(__xludf.DUMMYFUNCTION("""COMPUTED_VALUE"""),"sschrank@normanps.org")</f>
        <v>sschrank@normanps.org</v>
      </c>
      <c r="C15" s="3">
        <f ca="1">IFERROR(__xludf.DUMMYFUNCTION("""COMPUTED_VALUE"""),655)</f>
        <v>655</v>
      </c>
      <c r="D15" s="3"/>
      <c r="E15" s="3"/>
      <c r="F15" s="6"/>
      <c r="G15" s="3"/>
      <c r="H15" s="3"/>
      <c r="I15" s="3"/>
      <c r="J15" s="3"/>
      <c r="K15" s="3"/>
      <c r="L15" s="3"/>
      <c r="M15" s="3"/>
      <c r="N15" s="3">
        <f ca="1">IFERROR(__xludf.DUMMYFUNCTION("""COMPUTED_VALUE"""),53)</f>
        <v>53</v>
      </c>
      <c r="O15" s="3"/>
      <c r="P15" s="3"/>
      <c r="Q15" s="3"/>
      <c r="R15" s="3"/>
      <c r="S15" s="3"/>
      <c r="T15" s="3" t="str">
        <f ca="1">IFERROR(__xludf.DUMMYFUNCTION("""COMPUTED_VALUE"""),"Lakeview")</f>
        <v>Lakeview</v>
      </c>
      <c r="U15" s="3"/>
      <c r="V15" s="3"/>
      <c r="W15" s="3"/>
      <c r="X15" s="3"/>
      <c r="Y15" s="3"/>
      <c r="Z15" s="3"/>
      <c r="AA15" s="3"/>
      <c r="AB15" s="3"/>
      <c r="AC1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J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'Lincoln'"",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IFERROR(__xludf.DUMMYFUNCTION("""COMPUTED_VALUE"""),45538.4167017361)</f>
        <v>45538.416701736103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IFERROR(__xludf.DUMMYFUNCTION("""COMPUTED_VALUE"""),672)</f>
        <v>672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IFERROR(__xludf.DUMMYFUNCTION("""COMPUTED_VALUE"""),63)</f>
        <v>63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IFERROR(__xludf.DUMMYFUNCTION("""COMPUTED_VALUE"""),"Lincoln")</f>
        <v>Lincoln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IFERROR(__xludf.DUMMYFUNCTION("""COMPUTED_VALUE"""),45562.5433303356)</f>
        <v>45562.543330335597</v>
      </c>
      <c r="B3" s="3" t="str">
        <f ca="1">IFERROR(__xludf.DUMMYFUNCTION("""COMPUTED_VALUE"""),"blove@normanps.org")</f>
        <v>blove@normanps.org</v>
      </c>
      <c r="C3" s="3"/>
      <c r="D3" s="3">
        <f ca="1">IFERROR(__xludf.DUMMYFUNCTION("""COMPUTED_VALUE"""),4)</f>
        <v>4</v>
      </c>
      <c r="E3" s="3"/>
      <c r="F3" s="6">
        <f ca="1">IFERROR(__xludf.DUMMYFUNCTION("""COMPUTED_VALUE"""),200)</f>
        <v>200</v>
      </c>
      <c r="G3" s="3">
        <f ca="1">IFERROR(__xludf.DUMMYFUNCTION("""COMPUTED_VALUE"""),12)</f>
        <v>12</v>
      </c>
      <c r="H3" s="3"/>
      <c r="I3" s="3" t="str">
        <f ca="1">IFERROR(__xludf.DUMMYFUNCTION("""COMPUTED_VALUE"""),"Include")</f>
        <v>Include</v>
      </c>
      <c r="J3" s="3" t="str">
        <f ca="1">IFERROR(__xludf.DUMMYFUNCTION("""COMPUTED_VALUE"""),"Music")</f>
        <v>Music</v>
      </c>
      <c r="K3" s="3" t="str">
        <f ca="1">IFERROR(__xludf.DUMMYFUNCTION("""COMPUTED_VALUE"""),"Prek")</f>
        <v>Prek</v>
      </c>
      <c r="L3" s="3" t="str">
        <f ca="1">IFERROR(__xludf.DUMMYFUNCTION("""COMPUTED_VALUE"""),"3D Pens")</f>
        <v>3D Pens</v>
      </c>
      <c r="M3" s="3">
        <f ca="1">IFERROR(__xludf.DUMMYFUNCTION("""COMPUTED_VALUE"""),3)</f>
        <v>3</v>
      </c>
      <c r="N3" s="3"/>
      <c r="O3" s="3"/>
      <c r="P3" s="3" t="str">
        <f ca="1">IFERROR(__xludf.DUMMYFUNCTION("""COMPUTED_VALUE"""),"Pioneer")</f>
        <v>Pioneer</v>
      </c>
      <c r="Q3" s="3" t="str">
        <f ca="1">IFERROR(__xludf.DUMMYFUNCTION("""COMPUTED_VALUE"""),"MTSS")</f>
        <v>MTSS</v>
      </c>
      <c r="R3" s="3"/>
      <c r="S3" s="3">
        <f ca="1">IFERROR(__xludf.DUMMYFUNCTION("""COMPUTED_VALUE"""),6)</f>
        <v>6</v>
      </c>
      <c r="T3" s="3" t="str">
        <f ca="1">IFERROR(__xludf.DUMMYFUNCTION("""COMPUTED_VALUE"""),"Lincoln")</f>
        <v>Lincoln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IFERROR(__xludf.DUMMYFUNCTION("""COMPUTED_VALUE"""),45562.5435662499)</f>
        <v>45562.5435662499</v>
      </c>
      <c r="B4" s="3" t="str">
        <f ca="1">IFERROR(__xludf.DUMMYFUNCTION("""COMPUTED_VALUE"""),"blove@normanps.org")</f>
        <v>blove@normanps.org</v>
      </c>
      <c r="C4" s="3"/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 t="str">
        <f ca="1">IFERROR(__xludf.DUMMYFUNCTION("""COMPUTED_VALUE"""),"SWIFT")</f>
        <v>SWIFT</v>
      </c>
      <c r="R4" s="3"/>
      <c r="S4" s="3"/>
      <c r="T4" s="3" t="str">
        <f ca="1">IFERROR(__xludf.DUMMYFUNCTION("""COMPUTED_VALUE"""),"Lincoln")</f>
        <v>Lincoln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IFERROR(__xludf.DUMMYFUNCTION("""COMPUTED_VALUE"""),45562.543804375)</f>
        <v>45562.543804374996</v>
      </c>
      <c r="B5" s="3" t="str">
        <f ca="1">IFERROR(__xludf.DUMMYFUNCTION("""COMPUTED_VALUE"""),"blove@normanps.org")</f>
        <v>blove@normanps.org</v>
      </c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 t="str">
        <f ca="1">IFERROR(__xludf.DUMMYFUNCTION("""COMPUTED_VALUE"""),"School Climate and Culture")</f>
        <v>School Climate and Culture</v>
      </c>
      <c r="R5" s="3"/>
      <c r="S5" s="3"/>
      <c r="T5" s="3" t="str">
        <f ca="1">IFERROR(__xludf.DUMMYFUNCTION("""COMPUTED_VALUE"""),"Lincoln")</f>
        <v>Lincoln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IFERROR(__xludf.DUMMYFUNCTION("""COMPUTED_VALUE"""),45562.544241875)</f>
        <v>45562.544241875003</v>
      </c>
      <c r="B6" s="3" t="str">
        <f ca="1">IFERROR(__xludf.DUMMYFUNCTION("""COMPUTED_VALUE"""),"blove@normanps.org")</f>
        <v>blove@normanps.org</v>
      </c>
      <c r="C6" s="3"/>
      <c r="D6" s="3"/>
      <c r="E6" s="3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 t="str">
        <f ca="1">IFERROR(__xludf.DUMMYFUNCTION("""COMPUTED_VALUE"""),"OKSL Marketing Committee")</f>
        <v>OKSL Marketing Committee</v>
      </c>
      <c r="R6" s="3"/>
      <c r="S6" s="3"/>
      <c r="T6" s="3" t="str">
        <f ca="1">IFERROR(__xludf.DUMMYFUNCTION("""COMPUTED_VALUE"""),"Lincoln")</f>
        <v>Lincoln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IFERROR(__xludf.DUMMYFUNCTION("""COMPUTED_VALUE"""),45562.5446852546)</f>
        <v>45562.544685254601</v>
      </c>
      <c r="B7" s="3" t="str">
        <f ca="1">IFERROR(__xludf.DUMMYFUNCTION("""COMPUTED_VALUE"""),"blove@normanps.org")</f>
        <v>blove@normanps.org</v>
      </c>
      <c r="C7" s="3"/>
      <c r="D7" s="3"/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 t="str">
        <f ca="1">IFERROR(__xludf.DUMMYFUNCTION("""COMPUTED_VALUE"""),"AASL Member Engagement")</f>
        <v>AASL Member Engagement</v>
      </c>
      <c r="R7" s="3"/>
      <c r="S7" s="3"/>
      <c r="T7" s="3" t="str">
        <f ca="1">IFERROR(__xludf.DUMMYFUNCTION("""COMPUTED_VALUE"""),"Lincoln")</f>
        <v>Lincoln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IFERROR(__xludf.DUMMYFUNCTION("""COMPUTED_VALUE"""),45573.4161954166)</f>
        <v>45573.416195416597</v>
      </c>
      <c r="B8" s="3" t="str">
        <f ca="1">IFERROR(__xludf.DUMMYFUNCTION("""COMPUTED_VALUE"""),"sschrank@normanps.org")</f>
        <v>sschrank@normanps.org</v>
      </c>
      <c r="C8" s="3">
        <f ca="1">IFERROR(__xludf.DUMMYFUNCTION("""COMPUTED_VALUE"""),1468)</f>
        <v>1468</v>
      </c>
      <c r="D8" s="3"/>
      <c r="E8" s="3"/>
      <c r="F8" s="6"/>
      <c r="G8" s="3"/>
      <c r="H8" s="3"/>
      <c r="I8" s="3"/>
      <c r="J8" s="3"/>
      <c r="K8" s="3"/>
      <c r="L8" s="3"/>
      <c r="M8" s="3"/>
      <c r="N8" s="3">
        <f ca="1">IFERROR(__xludf.DUMMYFUNCTION("""COMPUTED_VALUE"""),144)</f>
        <v>144</v>
      </c>
      <c r="O8" s="3"/>
      <c r="P8" s="3"/>
      <c r="Q8" s="3"/>
      <c r="R8" s="3"/>
      <c r="S8" s="3"/>
      <c r="T8" s="3" t="str">
        <f ca="1">IFERROR(__xludf.DUMMYFUNCTION("""COMPUTED_VALUE"""),"Lincoln")</f>
        <v>Lincoln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IFERROR(__xludf.DUMMYFUNCTION("""COMPUTED_VALUE"""),45636.4946183101)</f>
        <v>45636.494618310098</v>
      </c>
      <c r="B9" s="3" t="str">
        <f ca="1">IFERROR(__xludf.DUMMYFUNCTION("""COMPUTED_VALUE"""),"blove@normanps.org")</f>
        <v>blove@normanps.org</v>
      </c>
      <c r="C9" s="3"/>
      <c r="D9" s="3"/>
      <c r="E9" s="3"/>
      <c r="F9" s="6">
        <f ca="1">IFERROR(__xludf.DUMMYFUNCTION("""COMPUTED_VALUE"""),3000)</f>
        <v>3000</v>
      </c>
      <c r="G9" s="3"/>
      <c r="H9" s="3"/>
      <c r="I9" s="3" t="str">
        <f ca="1">IFERROR(__xludf.DUMMYFUNCTION("""COMPUTED_VALUE"""),"Engage")</f>
        <v>Engage</v>
      </c>
      <c r="J9" s="3" t="str">
        <f ca="1">IFERROR(__xludf.DUMMYFUNCTION("""COMPUTED_VALUE"""),"Science")</f>
        <v>Science</v>
      </c>
      <c r="K9" s="3" t="str">
        <f ca="1">IFERROR(__xludf.DUMMYFUNCTION("""COMPUTED_VALUE"""),"Kindergarten")</f>
        <v>Kindergarten</v>
      </c>
      <c r="L9" s="3" t="str">
        <f ca="1">IFERROR(__xludf.DUMMYFUNCTION("""COMPUTED_VALUE"""),"Perler Beads")</f>
        <v>Perler Beads</v>
      </c>
      <c r="M9" s="3">
        <f ca="1">IFERROR(__xludf.DUMMYFUNCTION("""COMPUTED_VALUE"""),168)</f>
        <v>168</v>
      </c>
      <c r="N9" s="3"/>
      <c r="O9" s="3"/>
      <c r="P9" s="3" t="str">
        <f ca="1">IFERROR(__xludf.DUMMYFUNCTION("""COMPUTED_VALUE"""),"Pioneer")</f>
        <v>Pioneer</v>
      </c>
      <c r="Q9" s="3"/>
      <c r="R9" s="3" t="str">
        <f ca="1">IFERROR(__xludf.DUMMYFUNCTION("""COMPUTED_VALUE"""),"Lincoln Reads Night")</f>
        <v>Lincoln Reads Night</v>
      </c>
      <c r="S9" s="3">
        <f ca="1">IFERROR(__xludf.DUMMYFUNCTION("""COMPUTED_VALUE"""),7)</f>
        <v>7</v>
      </c>
      <c r="T9" s="3" t="str">
        <f ca="1">IFERROR(__xludf.DUMMYFUNCTION("""COMPUTED_VALUE"""),"Lincoln")</f>
        <v>Lincoln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IFERROR(__xludf.DUMMYFUNCTION("""COMPUTED_VALUE"""),45636.4948899537)</f>
        <v>45636.494889953698</v>
      </c>
      <c r="B10" s="3" t="str">
        <f ca="1">IFERROR(__xludf.DUMMYFUNCTION("""COMPUTED_VALUE"""),"blove@normanps.org")</f>
        <v>blove@normanps.org</v>
      </c>
      <c r="C10" s="3"/>
      <c r="D10" s="3"/>
      <c r="E10" s="3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tr">
        <f ca="1">IFERROR(__xludf.DUMMYFUNCTION("""COMPUTED_VALUE"""),"OKSL Membership Meeting")</f>
        <v>OKSL Membership Meeting</v>
      </c>
      <c r="R10" s="3"/>
      <c r="S10" s="3"/>
      <c r="T10" s="3" t="str">
        <f ca="1">IFERROR(__xludf.DUMMYFUNCTION("""COMPUTED_VALUE"""),"Lincoln")</f>
        <v>Lincoln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IFERROR(__xludf.DUMMYFUNCTION("""COMPUTED_VALUE"""),45636.4951450347)</f>
        <v>45636.4951450347</v>
      </c>
      <c r="B11" s="3" t="str">
        <f ca="1">IFERROR(__xludf.DUMMYFUNCTION("""COMPUTED_VALUE"""),"blove@normanps.org")</f>
        <v>blove@normanps.org</v>
      </c>
      <c r="C11" s="3"/>
      <c r="D11" s="3"/>
      <c r="E11" s="3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tr">
        <f ca="1">IFERROR(__xludf.DUMMYFUNCTION("""COMPUTED_VALUE"""),"OKSL Marketing Committee")</f>
        <v>OKSL Marketing Committee</v>
      </c>
      <c r="R11" s="3"/>
      <c r="S11" s="3"/>
      <c r="T11" s="3" t="str">
        <f ca="1">IFERROR(__xludf.DUMMYFUNCTION("""COMPUTED_VALUE"""),"Lincoln")</f>
        <v>Lincoln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IFERROR(__xludf.DUMMYFUNCTION("""COMPUTED_VALUE"""),45636.4953206134)</f>
        <v>45636.495320613401</v>
      </c>
      <c r="B12" s="3" t="str">
        <f ca="1">IFERROR(__xludf.DUMMYFUNCTION("""COMPUTED_VALUE"""),"blove@normanps.org")</f>
        <v>blove@normanps.org</v>
      </c>
      <c r="C12" s="3"/>
      <c r="D12" s="3"/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str">
        <f ca="1">IFERROR(__xludf.DUMMYFUNCTION("""COMPUTED_VALUE"""),"AASL Member Engagement")</f>
        <v>AASL Member Engagement</v>
      </c>
      <c r="R12" s="3"/>
      <c r="S12" s="3"/>
      <c r="T12" s="3" t="str">
        <f ca="1">IFERROR(__xludf.DUMMYFUNCTION("""COMPUTED_VALUE"""),"Lincoln")</f>
        <v>Lincoln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IFERROR(__xludf.DUMMYFUNCTION("""COMPUTED_VALUE"""),45636.4955145254)</f>
        <v>45636.495514525399</v>
      </c>
      <c r="B13" s="3" t="str">
        <f ca="1">IFERROR(__xludf.DUMMYFUNCTION("""COMPUTED_VALUE"""),"blove@normanps.org")</f>
        <v>blove@normanps.org</v>
      </c>
      <c r="C13" s="3"/>
      <c r="D13" s="3"/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str">
        <f ca="1">IFERROR(__xludf.DUMMYFUNCTION("""COMPUTED_VALUE"""),"Lincoln Climate and Culture")</f>
        <v>Lincoln Climate and Culture</v>
      </c>
      <c r="R13" s="3"/>
      <c r="S13" s="3"/>
      <c r="T13" s="3" t="str">
        <f ca="1">IFERROR(__xludf.DUMMYFUNCTION("""COMPUTED_VALUE"""),"Lincoln")</f>
        <v>Lincoln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IFERROR(__xludf.DUMMYFUNCTION("""COMPUTED_VALUE"""),45644.5361761574)</f>
        <v>45644.536176157402</v>
      </c>
      <c r="B14" s="3" t="str">
        <f ca="1">IFERROR(__xludf.DUMMYFUNCTION("""COMPUTED_VALUE"""),"sschrank@normanps.org")</f>
        <v>sschrank@normanps.org</v>
      </c>
      <c r="C14" s="3">
        <f ca="1">IFERROR(__xludf.DUMMYFUNCTION("""COMPUTED_VALUE"""),1777)</f>
        <v>1777</v>
      </c>
      <c r="D14" s="3"/>
      <c r="E14" s="3"/>
      <c r="F14" s="6"/>
      <c r="G14" s="3"/>
      <c r="H14" s="3"/>
      <c r="I14" s="3"/>
      <c r="J14" s="3"/>
      <c r="K14" s="3"/>
      <c r="L14" s="3"/>
      <c r="M14" s="3"/>
      <c r="N14" s="3">
        <f ca="1">IFERROR(__xludf.DUMMYFUNCTION("""COMPUTED_VALUE"""),160)</f>
        <v>160</v>
      </c>
      <c r="O14" s="3"/>
      <c r="P14" s="3"/>
      <c r="Q14" s="3"/>
      <c r="R14" s="3"/>
      <c r="S14" s="3"/>
      <c r="T14" s="3" t="str">
        <f ca="1">IFERROR(__xludf.DUMMYFUNCTION("""COMPUTED_VALUE"""),"Lincoln")</f>
        <v>Lincoln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IFERROR(__xludf.DUMMYFUNCTION("""COMPUTED_VALUE"""),45672.3363589467)</f>
        <v>45672.336358946697</v>
      </c>
      <c r="B15" s="3" t="str">
        <f ca="1">IFERROR(__xludf.DUMMYFUNCTION("""COMPUTED_VALUE"""),"sschrank@normanps.org")</f>
        <v>sschrank@normanps.org</v>
      </c>
      <c r="C15" s="3">
        <f ca="1">IFERROR(__xludf.DUMMYFUNCTION("""COMPUTED_VALUE"""),942)</f>
        <v>942</v>
      </c>
      <c r="D15" s="3"/>
      <c r="E15" s="3"/>
      <c r="F15" s="6"/>
      <c r="G15" s="3"/>
      <c r="H15" s="3"/>
      <c r="I15" s="3"/>
      <c r="J15" s="3"/>
      <c r="K15" s="3"/>
      <c r="L15" s="3"/>
      <c r="M15" s="3"/>
      <c r="N15" s="3">
        <f ca="1">IFERROR(__xludf.DUMMYFUNCTION("""COMPUTED_VALUE"""),75)</f>
        <v>75</v>
      </c>
      <c r="O15" s="3"/>
      <c r="P15" s="3"/>
      <c r="Q15" s="3"/>
      <c r="R15" s="3"/>
      <c r="S15" s="3"/>
      <c r="T15" s="3" t="str">
        <f ca="1">IFERROR(__xludf.DUMMYFUNCTION("""COMPUTED_VALUE"""),"Lincoln")</f>
        <v>Lincoln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IFERROR(__xludf.DUMMYFUNCTION("""COMPUTED_VALUE"""),45693.481912037)</f>
        <v>45693.481912037001</v>
      </c>
      <c r="B16" s="3" t="str">
        <f ca="1">IFERROR(__xludf.DUMMYFUNCTION("""COMPUTED_VALUE"""),"sschrank@normanps.org")</f>
        <v>sschrank@normanps.org</v>
      </c>
      <c r="C16" s="3">
        <f ca="1">IFERROR(__xludf.DUMMYFUNCTION("""COMPUTED_VALUE"""),787)</f>
        <v>787</v>
      </c>
      <c r="D16" s="3"/>
      <c r="E16" s="3"/>
      <c r="F16" s="6"/>
      <c r="G16" s="3"/>
      <c r="H16" s="3"/>
      <c r="I16" s="3"/>
      <c r="J16" s="3"/>
      <c r="K16" s="3"/>
      <c r="L16" s="3"/>
      <c r="M16" s="3"/>
      <c r="N16" s="3">
        <f ca="1">IFERROR(__xludf.DUMMYFUNCTION("""COMPUTED_VALUE"""),120)</f>
        <v>120</v>
      </c>
      <c r="O16" s="3"/>
      <c r="P16" s="3"/>
      <c r="Q16" s="3"/>
      <c r="R16" s="3"/>
      <c r="S16" s="3"/>
      <c r="T16" s="3" t="str">
        <f ca="1">IFERROR(__xludf.DUMMYFUNCTION("""COMPUTED_VALUE"""),"Lincoln")</f>
        <v>Lincoln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IFERROR(__xludf.DUMMYFUNCTION("""COMPUTED_VALUE"""),45528.5974305555)</f>
        <v>45528.597430555499</v>
      </c>
      <c r="B17" s="3" t="str">
        <f ca="1">IFERROR(__xludf.DUMMYFUNCTION("""COMPUTED_VALUE"""),"akordelis2@normanps.org")</f>
        <v>akordelis2@normanps.org</v>
      </c>
      <c r="C17" s="3">
        <f ca="1">IFERROR(__xludf.DUMMYFUNCTION("""COMPUTED_VALUE"""),1)</f>
        <v>1</v>
      </c>
      <c r="D17" s="3">
        <f ca="1">IFERROR(__xludf.DUMMYFUNCTION("""COMPUTED_VALUE"""),1)</f>
        <v>1</v>
      </c>
      <c r="E17" s="3">
        <f ca="1">IFERROR(__xludf.DUMMYFUNCTION("""COMPUTED_VALUE"""),1)</f>
        <v>1</v>
      </c>
      <c r="F17" s="6">
        <f ca="1">IFERROR(__xludf.DUMMYFUNCTION("""COMPUTED_VALUE"""),1)</f>
        <v>1</v>
      </c>
      <c r="G17" s="3">
        <f ca="1">IFERROR(__xludf.DUMMYFUNCTION("""COMPUTED_VALUE"""),1)</f>
        <v>1</v>
      </c>
      <c r="H17" s="3">
        <f ca="1">IFERROR(__xludf.DUMMYFUNCTION("""COMPUTED_VALUE"""),1)</f>
        <v>1</v>
      </c>
      <c r="I17" s="3" t="str">
        <f ca="1">IFERROR(__xludf.DUMMYFUNCTION("""COMPUTED_VALUE"""),"Inquire")</f>
        <v>Inquire</v>
      </c>
      <c r="J17" s="3" t="str">
        <f ca="1">IFERROR(__xludf.DUMMYFUNCTION("""COMPUTED_VALUE"""),"ELA")</f>
        <v>ELA</v>
      </c>
      <c r="K17" s="3" t="str">
        <f ca="1">IFERROR(__xludf.DUMMYFUNCTION("""COMPUTED_VALUE"""),"Prek")</f>
        <v>Prek</v>
      </c>
      <c r="L17" s="3" t="str">
        <f ca="1">IFERROR(__xludf.DUMMYFUNCTION("""COMPUTED_VALUE"""),"Air Dry Clay")</f>
        <v>Air Dry Clay</v>
      </c>
      <c r="M17" s="3">
        <f ca="1">IFERROR(__xludf.DUMMYFUNCTION("""COMPUTED_VALUE"""),1)</f>
        <v>1</v>
      </c>
      <c r="N17" s="3">
        <f ca="1">IFERROR(__xludf.DUMMYFUNCTION("""COMPUTED_VALUE"""),1)</f>
        <v>1</v>
      </c>
      <c r="O17" s="3">
        <f ca="1">IFERROR(__xludf.DUMMYFUNCTION("""COMPUTED_VALUE"""),1)</f>
        <v>1</v>
      </c>
      <c r="P17" s="3" t="str">
        <f ca="1">IFERROR(__xludf.DUMMYFUNCTION("""COMPUTED_VALUE"""),"Pioneer")</f>
        <v>Pioneer</v>
      </c>
      <c r="Q17" s="3" t="str">
        <f ca="1">IFERROR(__xludf.DUMMYFUNCTION("""COMPUTED_VALUE"""),"OLA")</f>
        <v>OLA</v>
      </c>
      <c r="R17" s="3" t="str">
        <f ca="1">IFERROR(__xludf.DUMMYFUNCTION("""COMPUTED_VALUE"""),"Literacy Night")</f>
        <v>Literacy Night</v>
      </c>
      <c r="S17" s="3">
        <f ca="1">IFERROR(__xludf.DUMMYFUNCTION("""COMPUTED_VALUE"""),1)</f>
        <v>1</v>
      </c>
      <c r="T17" s="3" t="str">
        <f ca="1">IFERROR(__xludf.DUMMYFUNCTION("""COMPUTED_VALUE"""),"Lincoln")</f>
        <v>Lincoln</v>
      </c>
      <c r="U17" s="3"/>
      <c r="V17" s="3"/>
      <c r="W17" s="3"/>
      <c r="X17" s="3"/>
      <c r="Y17" s="3"/>
      <c r="Z17" s="3"/>
      <c r="AA17" s="3"/>
      <c r="AB17" s="3"/>
      <c r="AC1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J4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'Madison'"",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IFERROR(__xludf.DUMMYFUNCTION("""COMPUTED_VALUE"""),45538.4170236921)</f>
        <v>45538.417023692098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IFERROR(__xludf.DUMMYFUNCTION("""COMPUTED_VALUE"""),1175)</f>
        <v>1175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IFERROR(__xludf.DUMMYFUNCTION("""COMPUTED_VALUE"""),18)</f>
        <v>18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IFERROR(__xludf.DUMMYFUNCTION("""COMPUTED_VALUE"""),"Madison")</f>
        <v>Madison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IFERROR(__xludf.DUMMYFUNCTION("""COMPUTED_VALUE"""),45573.4165967245)</f>
        <v>45573.416596724499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IFERROR(__xludf.DUMMYFUNCTION("""COMPUTED_VALUE"""),1454)</f>
        <v>1454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IFERROR(__xludf.DUMMYFUNCTION("""COMPUTED_VALUE"""),19)</f>
        <v>19</v>
      </c>
      <c r="O3" s="3"/>
      <c r="P3" s="3"/>
      <c r="Q3" s="3"/>
      <c r="R3" s="3"/>
      <c r="S3" s="3"/>
      <c r="T3" s="3" t="str">
        <f ca="1">IFERROR(__xludf.DUMMYFUNCTION("""COMPUTED_VALUE"""),"Madison")</f>
        <v>Madison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IFERROR(__xludf.DUMMYFUNCTION("""COMPUTED_VALUE"""),45644.5369437037)</f>
        <v>45644.536943703701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IFERROR(__xludf.DUMMYFUNCTION("""COMPUTED_VALUE"""),2407)</f>
        <v>2407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IFERROR(__xludf.DUMMYFUNCTION("""COMPUTED_VALUE"""),89)</f>
        <v>89</v>
      </c>
      <c r="O4" s="3"/>
      <c r="P4" s="3"/>
      <c r="Q4" s="3"/>
      <c r="R4" s="3"/>
      <c r="S4" s="3"/>
      <c r="T4" s="3" t="str">
        <f ca="1">IFERROR(__xludf.DUMMYFUNCTION("""COMPUTED_VALUE"""),"Madison")</f>
        <v>Madison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IFERROR(__xludf.DUMMYFUNCTION("""COMPUTED_VALUE"""),45672.3366971643)</f>
        <v>45672.336697164297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IFERROR(__xludf.DUMMYFUNCTION("""COMPUTED_VALUE"""),920)</f>
        <v>920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IFERROR(__xludf.DUMMYFUNCTION("""COMPUTED_VALUE"""),1)</f>
        <v>1</v>
      </c>
      <c r="O5" s="3"/>
      <c r="P5" s="3"/>
      <c r="Q5" s="3"/>
      <c r="R5" s="3"/>
      <c r="S5" s="3"/>
      <c r="T5" s="3" t="str">
        <f ca="1">IFERROR(__xludf.DUMMYFUNCTION("""COMPUTED_VALUE"""),"Madison")</f>
        <v>Madison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IFERROR(__xludf.DUMMYFUNCTION("""COMPUTED_VALUE"""),45680.6735153125)</f>
        <v>45680.673515312497</v>
      </c>
      <c r="B6" s="3" t="str">
        <f ca="1">IFERROR(__xludf.DUMMYFUNCTION("""COMPUTED_VALUE"""),"curtist@normanps.org")</f>
        <v>curtist@normanps.org</v>
      </c>
      <c r="C6" s="3"/>
      <c r="D6" s="3">
        <f ca="1">IFERROR(__xludf.DUMMYFUNCTION("""COMPUTED_VALUE"""),18)</f>
        <v>18</v>
      </c>
      <c r="E6" s="3"/>
      <c r="F6" s="6"/>
      <c r="G6" s="3"/>
      <c r="H6" s="3"/>
      <c r="I6" s="3" t="str">
        <f ca="1">IFERROR(__xludf.DUMMYFUNCTION("""COMPUTED_VALUE"""),"Include")</f>
        <v>Include</v>
      </c>
      <c r="J6" s="3" t="str">
        <f ca="1">IFERROR(__xludf.DUMMYFUNCTION("""COMPUTED_VALUE"""),"ELA")</f>
        <v>ELA</v>
      </c>
      <c r="K6" s="3" t="str">
        <f ca="1">IFERROR(__xludf.DUMMYFUNCTION("""COMPUTED_VALUE"""),"Prek")</f>
        <v>Prek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IFERROR(__xludf.DUMMYFUNCTION("""COMPUTED_VALUE"""),"Madison")</f>
        <v>Madison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IFERROR(__xludf.DUMMYFUNCTION("""COMPUTED_VALUE"""),45680.6737935995)</f>
        <v>45680.673793599497</v>
      </c>
      <c r="B7" s="3" t="str">
        <f ca="1">IFERROR(__xludf.DUMMYFUNCTION("""COMPUTED_VALUE"""),"curtist@normanps.org")</f>
        <v>curtist@normanps.org</v>
      </c>
      <c r="C7" s="3"/>
      <c r="D7" s="3">
        <f ca="1">IFERROR(__xludf.DUMMYFUNCTION("""COMPUTED_VALUE"""),18)</f>
        <v>18</v>
      </c>
      <c r="E7" s="3"/>
      <c r="F7" s="6"/>
      <c r="G7" s="3"/>
      <c r="H7" s="3"/>
      <c r="I7" s="3"/>
      <c r="J7" s="3" t="str">
        <f ca="1">IFERROR(__xludf.DUMMYFUNCTION("""COMPUTED_VALUE"""),"Science")</f>
        <v>Science</v>
      </c>
      <c r="K7" s="3" t="str">
        <f ca="1">IFERROR(__xludf.DUMMYFUNCTION("""COMPUTED_VALUE"""),"Prek")</f>
        <v>Prek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IFERROR(__xludf.DUMMYFUNCTION("""COMPUTED_VALUE"""),"Madison")</f>
        <v>Madison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IFERROR(__xludf.DUMMYFUNCTION("""COMPUTED_VALUE"""),45680.6744218287)</f>
        <v>45680.674421828699</v>
      </c>
      <c r="B8" s="3" t="str">
        <f ca="1">IFERROR(__xludf.DUMMYFUNCTION("""COMPUTED_VALUE"""),"curtist@normanps.org")</f>
        <v>curtist@normanps.org</v>
      </c>
      <c r="C8" s="3"/>
      <c r="D8" s="3">
        <f ca="1">IFERROR(__xludf.DUMMYFUNCTION("""COMPUTED_VALUE"""),9)</f>
        <v>9</v>
      </c>
      <c r="E8" s="3"/>
      <c r="F8" s="6"/>
      <c r="G8" s="3"/>
      <c r="H8" s="3"/>
      <c r="I8" s="3"/>
      <c r="J8" s="3" t="str">
        <f ca="1">IFERROR(__xludf.DUMMYFUNCTION("""COMPUTED_VALUE"""),"Computer Science")</f>
        <v>Computer Science</v>
      </c>
      <c r="K8" s="3" t="str">
        <f ca="1">IFERROR(__xludf.DUMMYFUNCTION("""COMPUTED_VALUE"""),"Prek")</f>
        <v>Prek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IFERROR(__xludf.DUMMYFUNCTION("""COMPUTED_VALUE"""),"Madison")</f>
        <v>Madison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IFERROR(__xludf.DUMMYFUNCTION("""COMPUTED_VALUE"""),45680.6751028472)</f>
        <v>45680.675102847199</v>
      </c>
      <c r="B9" s="3" t="str">
        <f ca="1">IFERROR(__xludf.DUMMYFUNCTION("""COMPUTED_VALUE"""),"curtist@normanps.org")</f>
        <v>curtist@normanps.org</v>
      </c>
      <c r="C9" s="3"/>
      <c r="D9" s="3">
        <f ca="1">IFERROR(__xludf.DUMMYFUNCTION("""COMPUTED_VALUE"""),36)</f>
        <v>36</v>
      </c>
      <c r="E9" s="3"/>
      <c r="F9" s="6"/>
      <c r="G9" s="3"/>
      <c r="H9" s="3"/>
      <c r="I9" s="3" t="str">
        <f ca="1">IFERROR(__xludf.DUMMYFUNCTION("""COMPUTED_VALUE"""),"Include")</f>
        <v>Include</v>
      </c>
      <c r="J9" s="3" t="str">
        <f ca="1">IFERROR(__xludf.DUMMYFUNCTION("""COMPUTED_VALUE"""),"ELA")</f>
        <v>ELA</v>
      </c>
      <c r="K9" s="3" t="str">
        <f ca="1">IFERROR(__xludf.DUMMYFUNCTION("""COMPUTED_VALUE"""),"Kindergarten")</f>
        <v>Kindergarten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IFERROR(__xludf.DUMMYFUNCTION("""COMPUTED_VALUE"""),"Madison")</f>
        <v>Madison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IFERROR(__xludf.DUMMYFUNCTION("""COMPUTED_VALUE"""),45680.675404155)</f>
        <v>45680.675404155001</v>
      </c>
      <c r="B10" s="3" t="str">
        <f ca="1">IFERROR(__xludf.DUMMYFUNCTION("""COMPUTED_VALUE"""),"curtist@normanps.org")</f>
        <v>curtist@normanps.org</v>
      </c>
      <c r="C10" s="3"/>
      <c r="D10" s="3">
        <f ca="1">IFERROR(__xludf.DUMMYFUNCTION("""COMPUTED_VALUE"""),18)</f>
        <v>18</v>
      </c>
      <c r="E10" s="3"/>
      <c r="F10" s="6"/>
      <c r="G10" s="3"/>
      <c r="H10" s="3"/>
      <c r="I10" s="3"/>
      <c r="J10" s="3" t="str">
        <f ca="1">IFERROR(__xludf.DUMMYFUNCTION("""COMPUTED_VALUE"""),"Science")</f>
        <v>Science</v>
      </c>
      <c r="K10" s="3" t="str">
        <f ca="1">IFERROR(__xludf.DUMMYFUNCTION("""COMPUTED_VALUE"""),"Kindergarten")</f>
        <v>Kindergarten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IFERROR(__xludf.DUMMYFUNCTION("""COMPUTED_VALUE"""),"Madison")</f>
        <v>Madison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IFERROR(__xludf.DUMMYFUNCTION("""COMPUTED_VALUE"""),45680.6757494328)</f>
        <v>45680.675749432798</v>
      </c>
      <c r="B11" s="3" t="str">
        <f ca="1">IFERROR(__xludf.DUMMYFUNCTION("""COMPUTED_VALUE"""),"curtist@normanps.org")</f>
        <v>curtist@normanps.org</v>
      </c>
      <c r="C11" s="3"/>
      <c r="D11" s="3">
        <f ca="1">IFERROR(__xludf.DUMMYFUNCTION("""COMPUTED_VALUE"""),15)</f>
        <v>15</v>
      </c>
      <c r="E11" s="3"/>
      <c r="F11" s="6"/>
      <c r="G11" s="3"/>
      <c r="H11" s="3"/>
      <c r="I11" s="3" t="str">
        <f ca="1">IFERROR(__xludf.DUMMYFUNCTION("""COMPUTED_VALUE"""),"Collaborate")</f>
        <v>Collaborate</v>
      </c>
      <c r="J11" s="3" t="str">
        <f ca="1">IFERROR(__xludf.DUMMYFUNCTION("""COMPUTED_VALUE"""),"Social Studies")</f>
        <v>Social Studies</v>
      </c>
      <c r="K11" s="3"/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IFERROR(__xludf.DUMMYFUNCTION("""COMPUTED_VALUE"""),"Madison")</f>
        <v>Madison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IFERROR(__xludf.DUMMYFUNCTION("""COMPUTED_VALUE"""),45680.676476331)</f>
        <v>45680.676476330998</v>
      </c>
      <c r="B12" s="3" t="str">
        <f ca="1">IFERROR(__xludf.DUMMYFUNCTION("""COMPUTED_VALUE"""),"curtist@normanps.org")</f>
        <v>curtist@normanps.org</v>
      </c>
      <c r="C12" s="3"/>
      <c r="D12" s="3">
        <f ca="1">IFERROR(__xludf.DUMMYFUNCTION("""COMPUTED_VALUE"""),6)</f>
        <v>6</v>
      </c>
      <c r="E12" s="3"/>
      <c r="F12" s="6"/>
      <c r="G12" s="3"/>
      <c r="H12" s="3"/>
      <c r="I12" s="3" t="str">
        <f ca="1">IFERROR(__xludf.DUMMYFUNCTION("""COMPUTED_VALUE"""),"Include")</f>
        <v>Include</v>
      </c>
      <c r="J12" s="3" t="str">
        <f ca="1">IFERROR(__xludf.DUMMYFUNCTION("""COMPUTED_VALUE"""),"ELA")</f>
        <v>ELA</v>
      </c>
      <c r="K12" s="3" t="str">
        <f ca="1">IFERROR(__xludf.DUMMYFUNCTION("""COMPUTED_VALUE"""),"Kindergarten")</f>
        <v>Kindergarten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IFERROR(__xludf.DUMMYFUNCTION("""COMPUTED_VALUE"""),"Madison")</f>
        <v>Madison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IFERROR(__xludf.DUMMYFUNCTION("""COMPUTED_VALUE"""),45680.677240081)</f>
        <v>45680.677240081</v>
      </c>
      <c r="B13" s="3" t="str">
        <f ca="1">IFERROR(__xludf.DUMMYFUNCTION("""COMPUTED_VALUE"""),"curtist@normanps.org")</f>
        <v>curtist@normanps.org</v>
      </c>
      <c r="C13" s="3"/>
      <c r="D13" s="3">
        <f ca="1">IFERROR(__xludf.DUMMYFUNCTION("""COMPUTED_VALUE"""),3)</f>
        <v>3</v>
      </c>
      <c r="E13" s="3"/>
      <c r="F13" s="6"/>
      <c r="G13" s="3"/>
      <c r="H13" s="3"/>
      <c r="I13" s="3" t="str">
        <f ca="1">IFERROR(__xludf.DUMMYFUNCTION("""COMPUTED_VALUE"""),"Collaborate")</f>
        <v>Collaborate</v>
      </c>
      <c r="J13" s="3" t="str">
        <f ca="1">IFERROR(__xludf.DUMMYFUNCTION("""COMPUTED_VALUE"""),"Science")</f>
        <v>Science</v>
      </c>
      <c r="K13" s="3" t="str">
        <f ca="1">IFERROR(__xludf.DUMMYFUNCTION("""COMPUTED_VALUE"""),"Kindergarten")</f>
        <v>Kindergarten</v>
      </c>
      <c r="L13" s="3"/>
      <c r="M13" s="3"/>
      <c r="N13" s="3"/>
      <c r="O13" s="3"/>
      <c r="P13" s="3" t="str">
        <f ca="1">IFERROR(__xludf.DUMMYFUNCTION("""COMPUTED_VALUE"""),"Pioneer")</f>
        <v>Pioneer</v>
      </c>
      <c r="Q13" s="3"/>
      <c r="R13" s="3"/>
      <c r="S13" s="3"/>
      <c r="T13" s="3" t="str">
        <f ca="1">IFERROR(__xludf.DUMMYFUNCTION("""COMPUTED_VALUE"""),"Madison")</f>
        <v>Madison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IFERROR(__xludf.DUMMYFUNCTION("""COMPUTED_VALUE"""),45680.6782773148)</f>
        <v>45680.678277314801</v>
      </c>
      <c r="B14" s="3" t="str">
        <f ca="1">IFERROR(__xludf.DUMMYFUNCTION("""COMPUTED_VALUE"""),"curtist@normanps.org")</f>
        <v>curtist@normanps.org</v>
      </c>
      <c r="C14" s="3"/>
      <c r="D14" s="3">
        <f ca="1">IFERROR(__xludf.DUMMYFUNCTION("""COMPUTED_VALUE"""),52)</f>
        <v>52</v>
      </c>
      <c r="E14" s="3"/>
      <c r="F14" s="6"/>
      <c r="G14" s="3"/>
      <c r="H14" s="3"/>
      <c r="I14" s="3" t="str">
        <f ca="1">IFERROR(__xludf.DUMMYFUNCTION("""COMPUTED_VALUE"""),"Include")</f>
        <v>Include</v>
      </c>
      <c r="J14" s="3" t="str">
        <f ca="1">IFERROR(__xludf.DUMMYFUNCTION("""COMPUTED_VALUE"""),"ELA")</f>
        <v>ELA</v>
      </c>
      <c r="K14" s="3" t="str">
        <f ca="1">IFERROR(__xludf.DUMMYFUNCTION("""COMPUTED_VALUE"""),"First")</f>
        <v>First</v>
      </c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IFERROR(__xludf.DUMMYFUNCTION("""COMPUTED_VALUE"""),"Madison")</f>
        <v>Madison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IFERROR(__xludf.DUMMYFUNCTION("""COMPUTED_VALUE"""),45680.6788420717)</f>
        <v>45680.678842071698</v>
      </c>
      <c r="B15" s="3" t="str">
        <f ca="1">IFERROR(__xludf.DUMMYFUNCTION("""COMPUTED_VALUE"""),"curtist@normanps.org")</f>
        <v>curtist@normanps.org</v>
      </c>
      <c r="C15" s="3"/>
      <c r="D15" s="3">
        <f ca="1">IFERROR(__xludf.DUMMYFUNCTION("""COMPUTED_VALUE"""),9)</f>
        <v>9</v>
      </c>
      <c r="E15" s="3"/>
      <c r="F15" s="6"/>
      <c r="G15" s="3"/>
      <c r="H15" s="3"/>
      <c r="I15" s="3"/>
      <c r="J15" s="3" t="str">
        <f ca="1">IFERROR(__xludf.DUMMYFUNCTION("""COMPUTED_VALUE"""),"Social Studies")</f>
        <v>Social Studies</v>
      </c>
      <c r="K15" s="3" t="str">
        <f ca="1">IFERROR(__xludf.DUMMYFUNCTION("""COMPUTED_VALUE"""),"First")</f>
        <v>First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IFERROR(__xludf.DUMMYFUNCTION("""COMPUTED_VALUE"""),"Madison")</f>
        <v>Madison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IFERROR(__xludf.DUMMYFUNCTION("""COMPUTED_VALUE"""),45680.6791280787)</f>
        <v>45680.6791280787</v>
      </c>
      <c r="B16" s="3" t="str">
        <f ca="1">IFERROR(__xludf.DUMMYFUNCTION("""COMPUTED_VALUE"""),"curtist@normanps.org")</f>
        <v>curtist@normanps.org</v>
      </c>
      <c r="C16" s="3"/>
      <c r="D16" s="3">
        <f ca="1">IFERROR(__xludf.DUMMYFUNCTION("""COMPUTED_VALUE"""),6)</f>
        <v>6</v>
      </c>
      <c r="E16" s="3"/>
      <c r="F16" s="6"/>
      <c r="G16" s="3"/>
      <c r="H16" s="3"/>
      <c r="I16" s="3"/>
      <c r="J16" s="3" t="str">
        <f ca="1">IFERROR(__xludf.DUMMYFUNCTION("""COMPUTED_VALUE"""),"Science")</f>
        <v>Science</v>
      </c>
      <c r="K16" s="3" t="str">
        <f ca="1">IFERROR(__xludf.DUMMYFUNCTION("""COMPUTED_VALUE"""),"First")</f>
        <v>First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IFERROR(__xludf.DUMMYFUNCTION("""COMPUTED_VALUE"""),"Madison")</f>
        <v>Madison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IFERROR(__xludf.DUMMYFUNCTION("""COMPUTED_VALUE"""),45680.6800790046)</f>
        <v>45680.680079004604</v>
      </c>
      <c r="B17" s="3" t="str">
        <f ca="1">IFERROR(__xludf.DUMMYFUNCTION("""COMPUTED_VALUE"""),"curtist@normanps.org")</f>
        <v>curtist@normanps.org</v>
      </c>
      <c r="C17" s="3"/>
      <c r="D17" s="3">
        <f ca="1">IFERROR(__xludf.DUMMYFUNCTION("""COMPUTED_VALUE"""),9)</f>
        <v>9</v>
      </c>
      <c r="E17" s="3"/>
      <c r="F17" s="6"/>
      <c r="G17" s="3"/>
      <c r="H17" s="3"/>
      <c r="I17" s="3" t="str">
        <f ca="1">IFERROR(__xludf.DUMMYFUNCTION("""COMPUTED_VALUE"""),"Collaborate")</f>
        <v>Collaborate</v>
      </c>
      <c r="J17" s="3" t="str">
        <f ca="1">IFERROR(__xludf.DUMMYFUNCTION("""COMPUTED_VALUE"""),"Social Studies")</f>
        <v>Social Studies</v>
      </c>
      <c r="K17" s="3" t="str">
        <f ca="1">IFERROR(__xludf.DUMMYFUNCTION("""COMPUTED_VALUE"""),"Second")</f>
        <v>Second</v>
      </c>
      <c r="L17" s="3"/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IFERROR(__xludf.DUMMYFUNCTION("""COMPUTED_VALUE"""),"Madison")</f>
        <v>Madison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IFERROR(__xludf.DUMMYFUNCTION("""COMPUTED_VALUE"""),45680.6810325925)</f>
        <v>45680.681032592503</v>
      </c>
      <c r="B18" s="3" t="str">
        <f ca="1">IFERROR(__xludf.DUMMYFUNCTION("""COMPUTED_VALUE"""),"curtist@normanps.org")</f>
        <v>curtist@normanps.org</v>
      </c>
      <c r="C18" s="3"/>
      <c r="D18" s="3">
        <f ca="1">IFERROR(__xludf.DUMMYFUNCTION("""COMPUTED_VALUE"""),12)</f>
        <v>12</v>
      </c>
      <c r="E18" s="3"/>
      <c r="F18" s="6"/>
      <c r="G18" s="3"/>
      <c r="H18" s="3"/>
      <c r="I18" s="3" t="str">
        <f ca="1">IFERROR(__xludf.DUMMYFUNCTION("""COMPUTED_VALUE"""),"Collaborate")</f>
        <v>Collaborate</v>
      </c>
      <c r="J18" s="3" t="str">
        <f ca="1">IFERROR(__xludf.DUMMYFUNCTION("""COMPUTED_VALUE"""),"ELA")</f>
        <v>ELA</v>
      </c>
      <c r="K18" s="3" t="str">
        <f ca="1">IFERROR(__xludf.DUMMYFUNCTION("""COMPUTED_VALUE"""),"Third")</f>
        <v>Third</v>
      </c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IFERROR(__xludf.DUMMYFUNCTION("""COMPUTED_VALUE"""),"Madison")</f>
        <v>Madison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IFERROR(__xludf.DUMMYFUNCTION("""COMPUTED_VALUE"""),45680.6817985185)</f>
        <v>45680.681798518497</v>
      </c>
      <c r="B19" s="3" t="str">
        <f ca="1">IFERROR(__xludf.DUMMYFUNCTION("""COMPUTED_VALUE"""),"curtist@normanps.org")</f>
        <v>curtist@normanps.org</v>
      </c>
      <c r="C19" s="3"/>
      <c r="D19" s="3">
        <f ca="1">IFERROR(__xludf.DUMMYFUNCTION("""COMPUTED_VALUE"""),3)</f>
        <v>3</v>
      </c>
      <c r="E19" s="3"/>
      <c r="F19" s="6"/>
      <c r="G19" s="3"/>
      <c r="H19" s="3"/>
      <c r="I19" s="3" t="str">
        <f ca="1">IFERROR(__xludf.DUMMYFUNCTION("""COMPUTED_VALUE"""),"Engage")</f>
        <v>Engage</v>
      </c>
      <c r="J19" s="3" t="str">
        <f ca="1">IFERROR(__xludf.DUMMYFUNCTION("""COMPUTED_VALUE"""),"ELA")</f>
        <v>ELA</v>
      </c>
      <c r="K19" s="3" t="str">
        <f ca="1">IFERROR(__xludf.DUMMYFUNCTION("""COMPUTED_VALUE"""),"Third")</f>
        <v>Third</v>
      </c>
      <c r="L19" s="3"/>
      <c r="M19" s="3"/>
      <c r="N19" s="3"/>
      <c r="O19" s="3"/>
      <c r="P19" s="3"/>
      <c r="Q19" s="3"/>
      <c r="R19" s="3" t="str">
        <f ca="1">IFERROR(__xludf.DUMMYFUNCTION("""COMPUTED_VALUE"""),"book club")</f>
        <v>book club</v>
      </c>
      <c r="S19" s="3"/>
      <c r="T19" s="3" t="str">
        <f ca="1">IFERROR(__xludf.DUMMYFUNCTION("""COMPUTED_VALUE"""),"Madison")</f>
        <v>Madison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IFERROR(__xludf.DUMMYFUNCTION("""COMPUTED_VALUE"""),45680.6826002546)</f>
        <v>45680.6826002546</v>
      </c>
      <c r="B20" s="3" t="str">
        <f ca="1">IFERROR(__xludf.DUMMYFUNCTION("""COMPUTED_VALUE"""),"curtist@normanps.org")</f>
        <v>curtist@normanps.org</v>
      </c>
      <c r="C20" s="3"/>
      <c r="D20" s="3">
        <f ca="1">IFERROR(__xludf.DUMMYFUNCTION("""COMPUTED_VALUE"""),6)</f>
        <v>6</v>
      </c>
      <c r="E20" s="3"/>
      <c r="F20" s="6"/>
      <c r="G20" s="3"/>
      <c r="H20" s="3"/>
      <c r="I20" s="3"/>
      <c r="J20" s="3" t="str">
        <f ca="1">IFERROR(__xludf.DUMMYFUNCTION("""COMPUTED_VALUE"""),"Social Studies")</f>
        <v>Social Studies</v>
      </c>
      <c r="K20" s="3" t="str">
        <f ca="1">IFERROR(__xludf.DUMMYFUNCTION("""COMPUTED_VALUE"""),"Fourth")</f>
        <v>Fourth</v>
      </c>
      <c r="L20" s="3"/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IFERROR(__xludf.DUMMYFUNCTION("""COMPUTED_VALUE"""),"Madison")</f>
        <v>Madison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IFERROR(__xludf.DUMMYFUNCTION("""COMPUTED_VALUE"""),45680.6830976157)</f>
        <v>45680.6830976157</v>
      </c>
      <c r="B21" s="3" t="str">
        <f ca="1">IFERROR(__xludf.DUMMYFUNCTION("""COMPUTED_VALUE"""),"curtist@normanps.org")</f>
        <v>curtist@normanps.org</v>
      </c>
      <c r="C21" s="3"/>
      <c r="D21" s="3">
        <f ca="1">IFERROR(__xludf.DUMMYFUNCTION("""COMPUTED_VALUE"""),12)</f>
        <v>12</v>
      </c>
      <c r="E21" s="3"/>
      <c r="F21" s="6"/>
      <c r="G21" s="3"/>
      <c r="H21" s="3"/>
      <c r="I21" s="3" t="str">
        <f ca="1">IFERROR(__xludf.DUMMYFUNCTION("""COMPUTED_VALUE"""),"Explore")</f>
        <v>Explore</v>
      </c>
      <c r="J21" s="3" t="str">
        <f ca="1">IFERROR(__xludf.DUMMYFUNCTION("""COMPUTED_VALUE"""),"Computer Science")</f>
        <v>Computer Science</v>
      </c>
      <c r="K21" s="3" t="str">
        <f ca="1">IFERROR(__xludf.DUMMYFUNCTION("""COMPUTED_VALUE"""),"Fourth")</f>
        <v>Fourth</v>
      </c>
      <c r="L21" s="3"/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IFERROR(__xludf.DUMMYFUNCTION("""COMPUTED_VALUE"""),"Madison")</f>
        <v>Madison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IFERROR(__xludf.DUMMYFUNCTION("""COMPUTED_VALUE"""),45680.683422905)</f>
        <v>45680.683422905</v>
      </c>
      <c r="B22" s="3" t="str">
        <f ca="1">IFERROR(__xludf.DUMMYFUNCTION("""COMPUTED_VALUE"""),"curtist@normanps.org")</f>
        <v>curtist@normanps.org</v>
      </c>
      <c r="C22" s="3"/>
      <c r="D22" s="3">
        <f ca="1">IFERROR(__xludf.DUMMYFUNCTION("""COMPUTED_VALUE"""),3)</f>
        <v>3</v>
      </c>
      <c r="E22" s="3"/>
      <c r="F22" s="6"/>
      <c r="G22" s="3"/>
      <c r="H22" s="3"/>
      <c r="I22" s="3" t="str">
        <f ca="1">IFERROR(__xludf.DUMMYFUNCTION("""COMPUTED_VALUE"""),"Include")</f>
        <v>Include</v>
      </c>
      <c r="J22" s="3" t="str">
        <f ca="1">IFERROR(__xludf.DUMMYFUNCTION("""COMPUTED_VALUE"""),"ELA")</f>
        <v>ELA</v>
      </c>
      <c r="K22" s="3"/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IFERROR(__xludf.DUMMYFUNCTION("""COMPUTED_VALUE"""),"Madison")</f>
        <v>Madison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IFERROR(__xludf.DUMMYFUNCTION("""COMPUTED_VALUE"""),45680.6845740509)</f>
        <v>45680.684574050902</v>
      </c>
      <c r="B23" s="3" t="str">
        <f ca="1">IFERROR(__xludf.DUMMYFUNCTION("""COMPUTED_VALUE"""),"curtist@normanps.org")</f>
        <v>curtist@normanps.org</v>
      </c>
      <c r="C23" s="3"/>
      <c r="D23" s="3">
        <f ca="1">IFERROR(__xludf.DUMMYFUNCTION("""COMPUTED_VALUE"""),38)</f>
        <v>38</v>
      </c>
      <c r="E23" s="3"/>
      <c r="F23" s="6"/>
      <c r="G23" s="3"/>
      <c r="H23" s="3"/>
      <c r="I23" s="3" t="str">
        <f ca="1">IFERROR(__xludf.DUMMYFUNCTION("""COMPUTED_VALUE"""),"Explore")</f>
        <v>Explore</v>
      </c>
      <c r="J23" s="3" t="str">
        <f ca="1">IFERROR(__xludf.DUMMYFUNCTION("""COMPUTED_VALUE"""),"Computer Science")</f>
        <v>Computer Science</v>
      </c>
      <c r="K23" s="3" t="str">
        <f ca="1">IFERROR(__xludf.DUMMYFUNCTION("""COMPUTED_VALUE"""),"Fifth")</f>
        <v>Fifth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IFERROR(__xludf.DUMMYFUNCTION("""COMPUTED_VALUE"""),"Madison")</f>
        <v>Madison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IFERROR(__xludf.DUMMYFUNCTION("""COMPUTED_VALUE"""),45680.6851486458)</f>
        <v>45680.685148645804</v>
      </c>
      <c r="B24" s="3" t="str">
        <f ca="1">IFERROR(__xludf.DUMMYFUNCTION("""COMPUTED_VALUE"""),"curtist@normanps.org")</f>
        <v>curtist@normanps.org</v>
      </c>
      <c r="C24" s="3"/>
      <c r="D24" s="3">
        <f ca="1">IFERROR(__xludf.DUMMYFUNCTION("""COMPUTED_VALUE"""),9)</f>
        <v>9</v>
      </c>
      <c r="E24" s="3"/>
      <c r="F24" s="6"/>
      <c r="G24" s="3"/>
      <c r="H24" s="3"/>
      <c r="I24" s="3" t="str">
        <f ca="1">IFERROR(__xludf.DUMMYFUNCTION("""COMPUTED_VALUE"""),"Curate")</f>
        <v>Curate</v>
      </c>
      <c r="J24" s="3" t="str">
        <f ca="1">IFERROR(__xludf.DUMMYFUNCTION("""COMPUTED_VALUE"""),"Math")</f>
        <v>Math</v>
      </c>
      <c r="K24" s="3" t="str">
        <f ca="1">IFERROR(__xludf.DUMMYFUNCTION("""COMPUTED_VALUE"""),"Fifth")</f>
        <v>Fifth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IFERROR(__xludf.DUMMYFUNCTION("""COMPUTED_VALUE"""),"Madison")</f>
        <v>Madison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IFERROR(__xludf.DUMMYFUNCTION("""COMPUTED_VALUE"""),45680.6855924884)</f>
        <v>45680.6855924884</v>
      </c>
      <c r="B25" s="3" t="str">
        <f ca="1">IFERROR(__xludf.DUMMYFUNCTION("""COMPUTED_VALUE"""),"curtist@normanps.org")</f>
        <v>curtist@normanps.org</v>
      </c>
      <c r="C25" s="3"/>
      <c r="D25" s="3">
        <f ca="1">IFERROR(__xludf.DUMMYFUNCTION("""COMPUTED_VALUE"""),9)</f>
        <v>9</v>
      </c>
      <c r="E25" s="3"/>
      <c r="F25" s="6"/>
      <c r="G25" s="3"/>
      <c r="H25" s="3"/>
      <c r="I25" s="3" t="str">
        <f ca="1">IFERROR(__xludf.DUMMYFUNCTION("""COMPUTED_VALUE"""),"Inquire")</f>
        <v>Inquire</v>
      </c>
      <c r="J25" s="3" t="str">
        <f ca="1">IFERROR(__xludf.DUMMYFUNCTION("""COMPUTED_VALUE"""),"Social Studies")</f>
        <v>Social Studies</v>
      </c>
      <c r="K25" s="3" t="str">
        <f ca="1">IFERROR(__xludf.DUMMYFUNCTION("""COMPUTED_VALUE"""),"Fifth")</f>
        <v>Fifth</v>
      </c>
      <c r="L25" s="3"/>
      <c r="M25" s="3"/>
      <c r="N25" s="3"/>
      <c r="O25" s="3"/>
      <c r="P25" s="3"/>
      <c r="Q25" s="3"/>
      <c r="R25" s="3"/>
      <c r="S25" s="3"/>
      <c r="T25" s="3" t="str">
        <f ca="1">IFERROR(__xludf.DUMMYFUNCTION("""COMPUTED_VALUE"""),"Madison")</f>
        <v>Madison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IFERROR(__xludf.DUMMYFUNCTION("""COMPUTED_VALUE"""),45680.6859447569)</f>
        <v>45680.6859447569</v>
      </c>
      <c r="B26" s="3" t="str">
        <f ca="1">IFERROR(__xludf.DUMMYFUNCTION("""COMPUTED_VALUE"""),"curtist@normanps.org")</f>
        <v>curtist@normanps.org</v>
      </c>
      <c r="C26" s="3"/>
      <c r="D26" s="3">
        <f ca="1">IFERROR(__xludf.DUMMYFUNCTION("""COMPUTED_VALUE"""),6)</f>
        <v>6</v>
      </c>
      <c r="E26" s="3"/>
      <c r="F26" s="6"/>
      <c r="G26" s="3"/>
      <c r="H26" s="3"/>
      <c r="I26" s="3" t="str">
        <f ca="1">IFERROR(__xludf.DUMMYFUNCTION("""COMPUTED_VALUE"""),"Include")</f>
        <v>Include</v>
      </c>
      <c r="J26" s="3" t="str">
        <f ca="1">IFERROR(__xludf.DUMMYFUNCTION("""COMPUTED_VALUE"""),"ELA")</f>
        <v>ELA</v>
      </c>
      <c r="K26" s="3" t="str">
        <f ca="1">IFERROR(__xludf.DUMMYFUNCTION("""COMPUTED_VALUE"""),"Fifth")</f>
        <v>Fifth</v>
      </c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IFERROR(__xludf.DUMMYFUNCTION("""COMPUTED_VALUE"""),"Madison")</f>
        <v>Madison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IFERROR(__xludf.DUMMYFUNCTION("""COMPUTED_VALUE"""),45680.6865096412)</f>
        <v>45680.6865096412</v>
      </c>
      <c r="B27" s="3" t="str">
        <f ca="1">IFERROR(__xludf.DUMMYFUNCTION("""COMPUTED_VALUE"""),"curtist@normanps.org")</f>
        <v>curtist@normanps.org</v>
      </c>
      <c r="C27" s="3"/>
      <c r="D27" s="3">
        <f ca="1">IFERROR(__xludf.DUMMYFUNCTION("""COMPUTED_VALUE"""),22)</f>
        <v>22</v>
      </c>
      <c r="E27" s="3"/>
      <c r="F27" s="6"/>
      <c r="G27" s="3"/>
      <c r="H27" s="3"/>
      <c r="I27" s="3"/>
      <c r="J27" s="3" t="str">
        <f ca="1">IFERROR(__xludf.DUMMYFUNCTION("""COMPUTED_VALUE"""),"Computer Science")</f>
        <v>Computer Science</v>
      </c>
      <c r="K27" s="3" t="str">
        <f ca="1">IFERROR(__xludf.DUMMYFUNCTION("""COMPUTED_VALUE"""),"Elementary multi-grade class")</f>
        <v>Elementary multi-grade class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IFERROR(__xludf.DUMMYFUNCTION("""COMPUTED_VALUE"""),"Madison")</f>
        <v>Madison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IFERROR(__xludf.DUMMYFUNCTION("""COMPUTED_VALUE"""),45680.686952824)</f>
        <v>45680.686952823999</v>
      </c>
      <c r="B28" s="3" t="str">
        <f ca="1">IFERROR(__xludf.DUMMYFUNCTION("""COMPUTED_VALUE"""),"curtist@normanps.org")</f>
        <v>curtist@normanps.org</v>
      </c>
      <c r="C28" s="3"/>
      <c r="D28" s="3">
        <f ca="1">IFERROR(__xludf.DUMMYFUNCTION("""COMPUTED_VALUE"""),22)</f>
        <v>22</v>
      </c>
      <c r="E28" s="3"/>
      <c r="F28" s="6"/>
      <c r="G28" s="3"/>
      <c r="H28" s="3"/>
      <c r="I28" s="3"/>
      <c r="J28" s="3" t="str">
        <f ca="1">IFERROR(__xludf.DUMMYFUNCTION("""COMPUTED_VALUE"""),"Science")</f>
        <v>Science</v>
      </c>
      <c r="K28" s="3" t="str">
        <f ca="1">IFERROR(__xludf.DUMMYFUNCTION("""COMPUTED_VALUE"""),"Elementary multi-grade class")</f>
        <v>Elementary multi-grade class</v>
      </c>
      <c r="L28" s="3"/>
      <c r="M28" s="3"/>
      <c r="N28" s="3"/>
      <c r="O28" s="3"/>
      <c r="P28" s="3"/>
      <c r="Q28" s="3"/>
      <c r="R28" s="3"/>
      <c r="S28" s="3"/>
      <c r="T28" s="3" t="str">
        <f ca="1">IFERROR(__xludf.DUMMYFUNCTION("""COMPUTED_VALUE"""),"Madison")</f>
        <v>Madison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IFERROR(__xludf.DUMMYFUNCTION("""COMPUTED_VALUE"""),45680.6874460185)</f>
        <v>45680.687446018499</v>
      </c>
      <c r="B29" s="3" t="str">
        <f ca="1">IFERROR(__xludf.DUMMYFUNCTION("""COMPUTED_VALUE"""),"curtist@normanps.org")</f>
        <v>curtist@normanps.org</v>
      </c>
      <c r="C29" s="3"/>
      <c r="D29" s="3">
        <f ca="1">IFERROR(__xludf.DUMMYFUNCTION("""COMPUTED_VALUE"""),44)</f>
        <v>44</v>
      </c>
      <c r="E29" s="3"/>
      <c r="F29" s="6"/>
      <c r="G29" s="3"/>
      <c r="H29" s="3"/>
      <c r="I29" s="3"/>
      <c r="J29" s="3" t="str">
        <f ca="1">IFERROR(__xludf.DUMMYFUNCTION("""COMPUTED_VALUE"""),"Direct Instruction")</f>
        <v>Direct Instruction</v>
      </c>
      <c r="K29" s="3" t="str">
        <f ca="1">IFERROR(__xludf.DUMMYFUNCTION("""COMPUTED_VALUE"""),"Elementary multi-grade class")</f>
        <v>Elementary multi-grade class</v>
      </c>
      <c r="L29" s="3"/>
      <c r="M29" s="3"/>
      <c r="N29" s="3"/>
      <c r="O29" s="3"/>
      <c r="P29" s="3"/>
      <c r="Q29" s="3"/>
      <c r="R29" s="3"/>
      <c r="S29" s="3"/>
      <c r="T29" s="3" t="str">
        <f ca="1">IFERROR(__xludf.DUMMYFUNCTION("""COMPUTED_VALUE"""),"Madison")</f>
        <v>Madison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IFERROR(__xludf.DUMMYFUNCTION("""COMPUTED_VALUE"""),45680.6878556713)</f>
        <v>45680.687855671298</v>
      </c>
      <c r="B30" s="3" t="str">
        <f ca="1">IFERROR(__xludf.DUMMYFUNCTION("""COMPUTED_VALUE"""),"curtist@normanps.org")</f>
        <v>curtist@normanps.org</v>
      </c>
      <c r="C30" s="3"/>
      <c r="D30" s="3">
        <f ca="1">IFERROR(__xludf.DUMMYFUNCTION("""COMPUTED_VALUE"""),22)</f>
        <v>22</v>
      </c>
      <c r="E30" s="3"/>
      <c r="F30" s="6"/>
      <c r="G30" s="3"/>
      <c r="H30" s="3"/>
      <c r="I30" s="3" t="str">
        <f ca="1">IFERROR(__xludf.DUMMYFUNCTION("""COMPUTED_VALUE"""),"Include")</f>
        <v>Include</v>
      </c>
      <c r="J30" s="3" t="str">
        <f ca="1">IFERROR(__xludf.DUMMYFUNCTION("""COMPUTED_VALUE"""),"ELA")</f>
        <v>ELA</v>
      </c>
      <c r="K30" s="3" t="str">
        <f ca="1">IFERROR(__xludf.DUMMYFUNCTION("""COMPUTED_VALUE"""),"Elementary multi-grade class")</f>
        <v>Elementary multi-grade class</v>
      </c>
      <c r="L30" s="3"/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IFERROR(__xludf.DUMMYFUNCTION("""COMPUTED_VALUE"""),"Madison")</f>
        <v>Madison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IFERROR(__xludf.DUMMYFUNCTION("""COMPUTED_VALUE"""),45680.6898001736)</f>
        <v>45680.689800173597</v>
      </c>
      <c r="B31" s="3" t="str">
        <f ca="1">IFERROR(__xludf.DUMMYFUNCTION("""COMPUTED_VALUE"""),"curtist@normanps.org")</f>
        <v>curtist@normanps.org</v>
      </c>
      <c r="C31" s="3"/>
      <c r="D31" s="3"/>
      <c r="E31" s="3"/>
      <c r="F31" s="6">
        <f ca="1">IFERROR(__xludf.DUMMYFUNCTION("""COMPUTED_VALUE"""),3000)</f>
        <v>3000</v>
      </c>
      <c r="G31" s="3">
        <f ca="1">IFERROR(__xludf.DUMMYFUNCTION("""COMPUTED_VALUE"""),360)</f>
        <v>360</v>
      </c>
      <c r="H31" s="3"/>
      <c r="I31" s="3"/>
      <c r="J31" s="3"/>
      <c r="K31" s="3"/>
      <c r="L31" s="3" t="str">
        <f ca="1">IFERROR(__xludf.DUMMYFUNCTION("""COMPUTED_VALUE"""),"3D pens")</f>
        <v>3D pens</v>
      </c>
      <c r="M31" s="3"/>
      <c r="N31" s="3"/>
      <c r="O31" s="3"/>
      <c r="P31" s="3"/>
      <c r="Q31" s="3"/>
      <c r="R31" s="3"/>
      <c r="S31" s="3">
        <f ca="1">IFERROR(__xludf.DUMMYFUNCTION("""COMPUTED_VALUE"""),28)</f>
        <v>28</v>
      </c>
      <c r="T31" s="3" t="str">
        <f ca="1">IFERROR(__xludf.DUMMYFUNCTION("""COMPUTED_VALUE"""),"Madison")</f>
        <v>Madison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IFERROR(__xludf.DUMMYFUNCTION("""COMPUTED_VALUE"""),45680.690881412)</f>
        <v>45680.690881412003</v>
      </c>
      <c r="B32" s="3" t="str">
        <f ca="1">IFERROR(__xludf.DUMMYFUNCTION("""COMPUTED_VALUE"""),"curtist@normanps.org")</f>
        <v>curtist@normanps.org</v>
      </c>
      <c r="C32" s="3"/>
      <c r="D32" s="3"/>
      <c r="E32" s="3"/>
      <c r="F32" s="6"/>
      <c r="G32" s="3"/>
      <c r="H32" s="3">
        <f ca="1">IFERROR(__xludf.DUMMYFUNCTION("""COMPUTED_VALUE"""),217)</f>
        <v>217</v>
      </c>
      <c r="I32" s="3"/>
      <c r="J32" s="3"/>
      <c r="K32" s="3"/>
      <c r="L32" s="3" t="str">
        <f ca="1">IFERROR(__xludf.DUMMYFUNCTION("""COMPUTED_VALUE"""),"melting snowmen")</f>
        <v>melting snowmen</v>
      </c>
      <c r="M32" s="3"/>
      <c r="N32" s="3"/>
      <c r="O32" s="3"/>
      <c r="P32" s="3"/>
      <c r="Q32" s="3"/>
      <c r="R32" s="3"/>
      <c r="S32" s="3"/>
      <c r="T32" s="3" t="str">
        <f ca="1">IFERROR(__xludf.DUMMYFUNCTION("""COMPUTED_VALUE"""),"Madison")</f>
        <v>Madison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IFERROR(__xludf.DUMMYFUNCTION("""COMPUTED_VALUE"""),45680.6919205555)</f>
        <v>45680.691920555502</v>
      </c>
      <c r="B33" s="3" t="str">
        <f ca="1">IFERROR(__xludf.DUMMYFUNCTION("""COMPUTED_VALUE"""),"curtist@normanps.org")</f>
        <v>curtist@normanps.org</v>
      </c>
      <c r="C33" s="3"/>
      <c r="D33" s="3"/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tr">
        <f ca="1">IFERROR(__xludf.DUMMYFUNCTION("""COMPUTED_VALUE"""),"Resource Nights (x 10)")</f>
        <v>Resource Nights (x 10)</v>
      </c>
      <c r="S33" s="3"/>
      <c r="T33" s="3" t="str">
        <f ca="1">IFERROR(__xludf.DUMMYFUNCTION("""COMPUTED_VALUE"""),"Madison")</f>
        <v>Madison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IFERROR(__xludf.DUMMYFUNCTION("""COMPUTED_VALUE"""),45680.6989749652)</f>
        <v>45680.698974965198</v>
      </c>
      <c r="B34" s="3" t="str">
        <f ca="1">IFERROR(__xludf.DUMMYFUNCTION("""COMPUTED_VALUE"""),"curtist@normanps.org")</f>
        <v>curtist@normanps.org</v>
      </c>
      <c r="C34" s="3"/>
      <c r="D34" s="3"/>
      <c r="E34" s="3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 t="str">
        <f ca="1">IFERROR(__xludf.DUMMYFUNCTION("""COMPUTED_VALUE"""),"Storybook STEM")</f>
        <v>Storybook STEM</v>
      </c>
      <c r="S34" s="3"/>
      <c r="T34" s="3" t="str">
        <f ca="1">IFERROR(__xludf.DUMMYFUNCTION("""COMPUTED_VALUE"""),"Madison")</f>
        <v>Madison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IFERROR(__xludf.DUMMYFUNCTION("""COMPUTED_VALUE"""),45680.6992453356)</f>
        <v>45680.6992453356</v>
      </c>
      <c r="B35" s="3" t="str">
        <f ca="1">IFERROR(__xludf.DUMMYFUNCTION("""COMPUTED_VALUE"""),"curtist@normanps.org")</f>
        <v>curtist@normanps.org</v>
      </c>
      <c r="C35" s="3"/>
      <c r="D35" s="3"/>
      <c r="E35" s="3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 t="str">
        <f ca="1">IFERROR(__xludf.DUMMYFUNCTION("""COMPUTED_VALUE"""),"Sequoyah Read Around")</f>
        <v>Sequoyah Read Around</v>
      </c>
      <c r="S35" s="3"/>
      <c r="T35" s="3" t="str">
        <f ca="1">IFERROR(__xludf.DUMMYFUNCTION("""COMPUTED_VALUE"""),"Madison")</f>
        <v>Madison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IFERROR(__xludf.DUMMYFUNCTION("""COMPUTED_VALUE"""),45680.6996287384)</f>
        <v>45680.699628738403</v>
      </c>
      <c r="B36" s="3" t="str">
        <f ca="1">IFERROR(__xludf.DUMMYFUNCTION("""COMPUTED_VALUE"""),"curtist@normanps.org")</f>
        <v>curtist@normanps.org</v>
      </c>
      <c r="C36" s="3"/>
      <c r="D36" s="3"/>
      <c r="E36" s="3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 t="str">
        <f ca="1">IFERROR(__xludf.DUMMYFUNCTION("""COMPUTED_VALUE"""),"Home Visits")</f>
        <v>Home Visits</v>
      </c>
      <c r="S36" s="3"/>
      <c r="T36" s="3" t="str">
        <f ca="1">IFERROR(__xludf.DUMMYFUNCTION("""COMPUTED_VALUE"""),"Madison")</f>
        <v>Madison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IFERROR(__xludf.DUMMYFUNCTION("""COMPUTED_VALUE"""),45680.6999284375)</f>
        <v>45680.699928437498</v>
      </c>
      <c r="B37" s="3" t="str">
        <f ca="1">IFERROR(__xludf.DUMMYFUNCTION("""COMPUTED_VALUE"""),"curtist@normanps.org")</f>
        <v>curtist@normanps.org</v>
      </c>
      <c r="C37" s="3"/>
      <c r="D37" s="3"/>
      <c r="E37" s="3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 t="str">
        <f ca="1">IFERROR(__xludf.DUMMYFUNCTION("""COMPUTED_VALUE"""),"Hour of Code")</f>
        <v>Hour of Code</v>
      </c>
      <c r="S37" s="3"/>
      <c r="T37" s="3" t="str">
        <f ca="1">IFERROR(__xludf.DUMMYFUNCTION("""COMPUTED_VALUE"""),"Madison")</f>
        <v>Madison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IFERROR(__xludf.DUMMYFUNCTION("""COMPUTED_VALUE"""),45680.7005622222)</f>
        <v>45680.700562222199</v>
      </c>
      <c r="B38" s="3" t="str">
        <f ca="1">IFERROR(__xludf.DUMMYFUNCTION("""COMPUTED_VALUE"""),"curtist@normanps.org")</f>
        <v>curtist@normanps.org</v>
      </c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 t="str">
        <f ca="1">IFERROR(__xludf.DUMMYFUNCTION("""COMPUTED_VALUE"""),"Storybook Pumpkins")</f>
        <v>Storybook Pumpkins</v>
      </c>
      <c r="S38" s="3"/>
      <c r="T38" s="3" t="str">
        <f ca="1">IFERROR(__xludf.DUMMYFUNCTION("""COMPUTED_VALUE"""),"Madison")</f>
        <v>Madison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IFERROR(__xludf.DUMMYFUNCTION("""COMPUTED_VALUE"""),45680.701229537)</f>
        <v>45680.701229537</v>
      </c>
      <c r="B39" s="3" t="str">
        <f ca="1">IFERROR(__xludf.DUMMYFUNCTION("""COMPUTED_VALUE"""),"curtist@normanps.org")</f>
        <v>curtist@normanps.org</v>
      </c>
      <c r="C39" s="3"/>
      <c r="D39" s="3"/>
      <c r="E39" s="3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tr">
        <f ca="1">IFERROR(__xludf.DUMMYFUNCTION("""COMPUTED_VALUE"""),"Mock Voting")</f>
        <v>Mock Voting</v>
      </c>
      <c r="S39" s="3"/>
      <c r="T39" s="3" t="str">
        <f ca="1">IFERROR(__xludf.DUMMYFUNCTION("""COMPUTED_VALUE"""),"Madison")</f>
        <v>Madison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IFERROR(__xludf.DUMMYFUNCTION("""COMPUTED_VALUE"""),45680.7030459606)</f>
        <v>45680.703045960603</v>
      </c>
      <c r="B40" s="3" t="str">
        <f ca="1">IFERROR(__xludf.DUMMYFUNCTION("""COMPUTED_VALUE"""),"curtist@normanps.org")</f>
        <v>curtist@normanps.org</v>
      </c>
      <c r="C40" s="3"/>
      <c r="D40" s="3"/>
      <c r="E40" s="3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str">
        <f ca="1">IFERROR(__xludf.DUMMYFUNCTION("""COMPUTED_VALUE"""),"Enrichment lead on site")</f>
        <v>Enrichment lead on site</v>
      </c>
      <c r="R40" s="3"/>
      <c r="S40" s="3"/>
      <c r="T40" s="3" t="str">
        <f ca="1">IFERROR(__xludf.DUMMYFUNCTION("""COMPUTED_VALUE"""),"Madison")</f>
        <v>Madison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IFERROR(__xludf.DUMMYFUNCTION("""COMPUTED_VALUE"""),45680.7033755208)</f>
        <v>45680.703375520803</v>
      </c>
      <c r="B41" s="3" t="str">
        <f ca="1">IFERROR(__xludf.DUMMYFUNCTION("""COMPUTED_VALUE"""),"curtist@normanps.org")</f>
        <v>curtist@normanps.org</v>
      </c>
      <c r="C41" s="3"/>
      <c r="D41" s="3"/>
      <c r="E41" s="3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 t="str">
        <f ca="1">IFERROR(__xludf.DUMMYFUNCTION("""COMPUTED_VALUE"""),"Sequoyah")</f>
        <v>Sequoyah</v>
      </c>
      <c r="R41" s="3"/>
      <c r="S41" s="3"/>
      <c r="T41" s="3" t="str">
        <f ca="1">IFERROR(__xludf.DUMMYFUNCTION("""COMPUTED_VALUE"""),"Madison")</f>
        <v>Madison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f ca="1">IFERROR(__xludf.DUMMYFUNCTION("""COMPUTED_VALUE"""),45680.7036068402)</f>
        <v>45680.703606840201</v>
      </c>
      <c r="B42" s="3" t="str">
        <f ca="1">IFERROR(__xludf.DUMMYFUNCTION("""COMPUTED_VALUE"""),"curtist@normanps.org")</f>
        <v>curtist@normanps.org</v>
      </c>
      <c r="C42" s="3"/>
      <c r="D42" s="3"/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str">
        <f ca="1">IFERROR(__xludf.DUMMYFUNCTION("""COMPUTED_VALUE"""),"Sequoyah")</f>
        <v>Sequoyah</v>
      </c>
      <c r="R42" s="3"/>
      <c r="S42" s="3"/>
      <c r="T42" s="3" t="str">
        <f ca="1">IFERROR(__xludf.DUMMYFUNCTION("""COMPUTED_VALUE"""),"Madison")</f>
        <v>Madison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f ca="1">IFERROR(__xludf.DUMMYFUNCTION("""COMPUTED_VALUE"""),45680.7038458449)</f>
        <v>45680.703845844902</v>
      </c>
      <c r="B43" s="3" t="str">
        <f ca="1">IFERROR(__xludf.DUMMYFUNCTION("""COMPUTED_VALUE"""),"curtist@normanps.org")</f>
        <v>curtist@normanps.org</v>
      </c>
      <c r="C43" s="3"/>
      <c r="D43" s="3"/>
      <c r="E43" s="3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 t="str">
        <f ca="1">IFERROR(__xludf.DUMMYFUNCTION("""COMPUTED_VALUE"""),"Sequoyah")</f>
        <v>Sequoyah</v>
      </c>
      <c r="R43" s="3"/>
      <c r="S43" s="3"/>
      <c r="T43" s="3" t="str">
        <f ca="1">IFERROR(__xludf.DUMMYFUNCTION("""COMPUTED_VALUE"""),"Madison")</f>
        <v>Madison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2">
        <f ca="1">IFERROR(__xludf.DUMMYFUNCTION("""COMPUTED_VALUE"""),45680.7040950347)</f>
        <v>45680.7040950347</v>
      </c>
      <c r="B44" s="3" t="str">
        <f ca="1">IFERROR(__xludf.DUMMYFUNCTION("""COMPUTED_VALUE"""),"curtist@normanps.org")</f>
        <v>curtist@normanps.org</v>
      </c>
      <c r="C44" s="3"/>
      <c r="D44" s="3"/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tr">
        <f ca="1">IFERROR(__xludf.DUMMYFUNCTION("""COMPUTED_VALUE"""),"Sequoyah")</f>
        <v>Sequoyah</v>
      </c>
      <c r="R44" s="3"/>
      <c r="S44" s="3"/>
      <c r="T44" s="3" t="str">
        <f ca="1">IFERROR(__xludf.DUMMYFUNCTION("""COMPUTED_VALUE"""),"Madison")</f>
        <v>Madison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2">
        <f ca="1">IFERROR(__xludf.DUMMYFUNCTION("""COMPUTED_VALUE"""),45680.7043089814)</f>
        <v>45680.704308981403</v>
      </c>
      <c r="B45" s="3" t="str">
        <f ca="1">IFERROR(__xludf.DUMMYFUNCTION("""COMPUTED_VALUE"""),"curtist@normanps.org")</f>
        <v>curtist@normanps.org</v>
      </c>
      <c r="C45" s="3"/>
      <c r="D45" s="3"/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 t="str">
        <f ca="1">IFERROR(__xludf.DUMMYFUNCTION("""COMPUTED_VALUE"""),"Sequoyah")</f>
        <v>Sequoyah</v>
      </c>
      <c r="R45" s="3"/>
      <c r="S45" s="3"/>
      <c r="T45" s="3" t="str">
        <f ca="1">IFERROR(__xludf.DUMMYFUNCTION("""COMPUTED_VALUE"""),"Madison")</f>
        <v>Madison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2">
        <f ca="1">IFERROR(__xludf.DUMMYFUNCTION("""COMPUTED_VALUE"""),45680.7045359722)</f>
        <v>45680.704535972203</v>
      </c>
      <c r="B46" s="3" t="str">
        <f ca="1">IFERROR(__xludf.DUMMYFUNCTION("""COMPUTED_VALUE"""),"curtist@normanps.org")</f>
        <v>curtist@normanps.org</v>
      </c>
      <c r="C46" s="3"/>
      <c r="D46" s="3"/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 t="str">
        <f ca="1">IFERROR(__xludf.DUMMYFUNCTION("""COMPUTED_VALUE"""),"Sequoyah")</f>
        <v>Sequoyah</v>
      </c>
      <c r="R46" s="3"/>
      <c r="S46" s="3"/>
      <c r="T46" s="3" t="str">
        <f ca="1">IFERROR(__xludf.DUMMYFUNCTION("""COMPUTED_VALUE"""),"Madison")</f>
        <v>Madison</v>
      </c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2">
        <f ca="1">IFERROR(__xludf.DUMMYFUNCTION("""COMPUTED_VALUE"""),45693.4822556365)</f>
        <v>45693.482255636503</v>
      </c>
      <c r="B47" s="3" t="str">
        <f ca="1">IFERROR(__xludf.DUMMYFUNCTION("""COMPUTED_VALUE"""),"sschrank@normanps.org")</f>
        <v>sschrank@normanps.org</v>
      </c>
      <c r="C47" s="3">
        <f ca="1">IFERROR(__xludf.DUMMYFUNCTION("""COMPUTED_VALUE"""),676)</f>
        <v>676</v>
      </c>
      <c r="D47" s="3"/>
      <c r="E47" s="3"/>
      <c r="F47" s="6"/>
      <c r="G47" s="3"/>
      <c r="H47" s="3"/>
      <c r="I47" s="3"/>
      <c r="J47" s="3"/>
      <c r="K47" s="3"/>
      <c r="L47" s="3"/>
      <c r="M47" s="3"/>
      <c r="N47" s="3">
        <f ca="1">IFERROR(__xludf.DUMMYFUNCTION("""COMPUTED_VALUE"""),2)</f>
        <v>2</v>
      </c>
      <c r="O47" s="3"/>
      <c r="P47" s="3"/>
      <c r="Q47" s="3"/>
      <c r="R47" s="3"/>
      <c r="S47" s="3"/>
      <c r="T47" s="3" t="str">
        <f ca="1">IFERROR(__xludf.DUMMYFUNCTION("""COMPUTED_VALUE"""),"Madison")</f>
        <v>Madison</v>
      </c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2">
        <f ca="1">IFERROR(__xludf.DUMMYFUNCTION("""COMPUTED_VALUE"""),45529.5974305555)</f>
        <v>45529.597430555499</v>
      </c>
      <c r="B48" s="3" t="str">
        <f ca="1">IFERROR(__xludf.DUMMYFUNCTION("""COMPUTED_VALUE"""),"akordelis2@normanps.org")</f>
        <v>akordelis2@normanps.org</v>
      </c>
      <c r="C48" s="3">
        <f ca="1">IFERROR(__xludf.DUMMYFUNCTION("""COMPUTED_VALUE"""),1)</f>
        <v>1</v>
      </c>
      <c r="D48" s="3">
        <f ca="1">IFERROR(__xludf.DUMMYFUNCTION("""COMPUTED_VALUE"""),1)</f>
        <v>1</v>
      </c>
      <c r="E48" s="3">
        <f ca="1">IFERROR(__xludf.DUMMYFUNCTION("""COMPUTED_VALUE"""),1)</f>
        <v>1</v>
      </c>
      <c r="F48" s="6">
        <f ca="1">IFERROR(__xludf.DUMMYFUNCTION("""COMPUTED_VALUE"""),1)</f>
        <v>1</v>
      </c>
      <c r="G48" s="3">
        <f ca="1">IFERROR(__xludf.DUMMYFUNCTION("""COMPUTED_VALUE"""),1)</f>
        <v>1</v>
      </c>
      <c r="H48" s="3">
        <f ca="1">IFERROR(__xludf.DUMMYFUNCTION("""COMPUTED_VALUE"""),1)</f>
        <v>1</v>
      </c>
      <c r="I48" s="3" t="str">
        <f ca="1">IFERROR(__xludf.DUMMYFUNCTION("""COMPUTED_VALUE"""),"Inquire")</f>
        <v>Inquire</v>
      </c>
      <c r="J48" s="3" t="str">
        <f ca="1">IFERROR(__xludf.DUMMYFUNCTION("""COMPUTED_VALUE"""),"ELA")</f>
        <v>ELA</v>
      </c>
      <c r="K48" s="3" t="str">
        <f ca="1">IFERROR(__xludf.DUMMYFUNCTION("""COMPUTED_VALUE"""),"Prek")</f>
        <v>Prek</v>
      </c>
      <c r="L48" s="3" t="str">
        <f ca="1">IFERROR(__xludf.DUMMYFUNCTION("""COMPUTED_VALUE"""),"Air Dry Clay")</f>
        <v>Air Dry Clay</v>
      </c>
      <c r="M48" s="3">
        <f ca="1">IFERROR(__xludf.DUMMYFUNCTION("""COMPUTED_VALUE"""),1)</f>
        <v>1</v>
      </c>
      <c r="N48" s="3">
        <f ca="1">IFERROR(__xludf.DUMMYFUNCTION("""COMPUTED_VALUE"""),1)</f>
        <v>1</v>
      </c>
      <c r="O48" s="3">
        <f ca="1">IFERROR(__xludf.DUMMYFUNCTION("""COMPUTED_VALUE"""),1)</f>
        <v>1</v>
      </c>
      <c r="P48" s="3" t="str">
        <f ca="1">IFERROR(__xludf.DUMMYFUNCTION("""COMPUTED_VALUE"""),"Pioneer")</f>
        <v>Pioneer</v>
      </c>
      <c r="Q48" s="3" t="str">
        <f ca="1">IFERROR(__xludf.DUMMYFUNCTION("""COMPUTED_VALUE"""),"OLA")</f>
        <v>OLA</v>
      </c>
      <c r="R48" s="3" t="str">
        <f ca="1">IFERROR(__xludf.DUMMYFUNCTION("""COMPUTED_VALUE"""),"Literacy Night")</f>
        <v>Literacy Night</v>
      </c>
      <c r="S48" s="3">
        <f ca="1">IFERROR(__xludf.DUMMYFUNCTION("""COMPUTED_VALUE"""),1)</f>
        <v>1</v>
      </c>
      <c r="T48" s="3" t="str">
        <f ca="1">IFERROR(__xludf.DUMMYFUNCTION("""COMPUTED_VALUE"""),"Madison")</f>
        <v>Madison</v>
      </c>
      <c r="U48" s="3"/>
      <c r="V48" s="3"/>
      <c r="W48" s="3"/>
      <c r="X48" s="3"/>
      <c r="Y48" s="3"/>
      <c r="Z48" s="3"/>
      <c r="AA48" s="3"/>
      <c r="AB48" s="3"/>
      <c r="AC4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J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'McKinley'"",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IFERROR(__xludf.DUMMYFUNCTION("""COMPUTED_VALUE"""),45538.417345324)</f>
        <v>45538.417345324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IFERROR(__xludf.DUMMYFUNCTION("""COMPUTED_VALUE"""),927)</f>
        <v>927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IFERROR(__xludf.DUMMYFUNCTION("""COMPUTED_VALUE"""),9)</f>
        <v>9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IFERROR(__xludf.DUMMYFUNCTION("""COMPUTED_VALUE"""),"McKinley")</f>
        <v>McKinley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IFERROR(__xludf.DUMMYFUNCTION("""COMPUTED_VALUE"""),45573.4169950347)</f>
        <v>45573.416995034699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IFERROR(__xludf.DUMMYFUNCTION("""COMPUTED_VALUE"""),1368)</f>
        <v>1368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IFERROR(__xludf.DUMMYFUNCTION("""COMPUTED_VALUE"""),206)</f>
        <v>206</v>
      </c>
      <c r="O3" s="3"/>
      <c r="P3" s="3"/>
      <c r="Q3" s="3"/>
      <c r="R3" s="3"/>
      <c r="S3" s="3"/>
      <c r="T3" s="3" t="str">
        <f ca="1">IFERROR(__xludf.DUMMYFUNCTION("""COMPUTED_VALUE"""),"McKinley")</f>
        <v>McKinley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IFERROR(__xludf.DUMMYFUNCTION("""COMPUTED_VALUE"""),45644.5375737963)</f>
        <v>45644.537573796297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IFERROR(__xludf.DUMMYFUNCTION("""COMPUTED_VALUE"""),1634)</f>
        <v>1634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IFERROR(__xludf.DUMMYFUNCTION("""COMPUTED_VALUE"""),224)</f>
        <v>224</v>
      </c>
      <c r="O4" s="3"/>
      <c r="P4" s="3"/>
      <c r="Q4" s="3"/>
      <c r="R4" s="3"/>
      <c r="S4" s="3"/>
      <c r="T4" s="3" t="str">
        <f ca="1">IFERROR(__xludf.DUMMYFUNCTION("""COMPUTED_VALUE"""),"McKinley")</f>
        <v>McKinley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IFERROR(__xludf.DUMMYFUNCTION("""COMPUTED_VALUE"""),45663.4349067476)</f>
        <v>45663.4349067476</v>
      </c>
      <c r="B5" s="3" t="str">
        <f ca="1">IFERROR(__xludf.DUMMYFUNCTION("""COMPUTED_VALUE"""),"lparsons@normanps.org")</f>
        <v>lparsons@normanps.org</v>
      </c>
      <c r="C5" s="3"/>
      <c r="D5" s="3"/>
      <c r="E5" s="3"/>
      <c r="F5" s="6"/>
      <c r="G5" s="3"/>
      <c r="H5" s="3"/>
      <c r="I5" s="3" t="str">
        <f ca="1">IFERROR(__xludf.DUMMYFUNCTION("""COMPUTED_VALUE"""),"Collaborate")</f>
        <v>Collaborate</v>
      </c>
      <c r="J5" s="3" t="str">
        <f ca="1">IFERROR(__xludf.DUMMYFUNCTION("""COMPUTED_VALUE"""),"ELA")</f>
        <v>ELA</v>
      </c>
      <c r="K5" s="3" t="str">
        <f ca="1">IFERROR(__xludf.DUMMYFUNCTION("""COMPUTED_VALUE"""),"Fifth")</f>
        <v>Fifth</v>
      </c>
      <c r="L5" s="3" t="str">
        <f ca="1">IFERROR(__xludf.DUMMYFUNCTION("""COMPUTED_VALUE"""),"Awbies ")</f>
        <v xml:space="preserve">Awbies </v>
      </c>
      <c r="M5" s="3"/>
      <c r="N5" s="3"/>
      <c r="O5" s="3"/>
      <c r="P5" s="3" t="str">
        <f ca="1">IFERROR(__xludf.DUMMYFUNCTION("""COMPUTED_VALUE"""),"Pioneer Library")</f>
        <v>Pioneer Library</v>
      </c>
      <c r="Q5" s="3" t="str">
        <f ca="1">IFERROR(__xludf.DUMMYFUNCTION("""COMPUTED_VALUE"""),"Site Energy Coach, Site Pen Rep, Site MTSS committee")</f>
        <v>Site Energy Coach, Site Pen Rep, Site MTSS committee</v>
      </c>
      <c r="R5" s="3" t="str">
        <f ca="1">IFERROR(__xludf.DUMMYFUNCTION("""COMPUTED_VALUE"""),"Online Author Visits, SteamTank")</f>
        <v>Online Author Visits, SteamTank</v>
      </c>
      <c r="S5" s="3">
        <f ca="1">IFERROR(__xludf.DUMMYFUNCTION("""COMPUTED_VALUE"""),2)</f>
        <v>2</v>
      </c>
      <c r="T5" s="3" t="str">
        <f ca="1">IFERROR(__xludf.DUMMYFUNCTION("""COMPUTED_VALUE"""),"McKinley")</f>
        <v>McKinley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IFERROR(__xludf.DUMMYFUNCTION("""COMPUTED_VALUE"""),45672.3371974768)</f>
        <v>45672.337197476802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IFERROR(__xludf.DUMMYFUNCTION("""COMPUTED_VALUE"""),616)</f>
        <v>616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IFERROR(__xludf.DUMMYFUNCTION("""COMPUTED_VALUE"""),66)</f>
        <v>66</v>
      </c>
      <c r="O6" s="3"/>
      <c r="P6" s="3"/>
      <c r="Q6" s="3"/>
      <c r="R6" s="3"/>
      <c r="S6" s="3"/>
      <c r="T6" s="3" t="str">
        <f ca="1">IFERROR(__xludf.DUMMYFUNCTION("""COMPUTED_VALUE"""),"McKinley")</f>
        <v>McKinley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IFERROR(__xludf.DUMMYFUNCTION("""COMPUTED_VALUE"""),45693.4825501273)</f>
        <v>45693.482550127301</v>
      </c>
      <c r="B7" s="3" t="str">
        <f ca="1">IFERROR(__xludf.DUMMYFUNCTION("""COMPUTED_VALUE"""),"sschrank@normanps.org")</f>
        <v>sschrank@normanps.org</v>
      </c>
      <c r="C7" s="3">
        <f ca="1">IFERROR(__xludf.DUMMYFUNCTION("""COMPUTED_VALUE"""),887)</f>
        <v>887</v>
      </c>
      <c r="D7" s="3"/>
      <c r="E7" s="3"/>
      <c r="F7" s="6"/>
      <c r="G7" s="3"/>
      <c r="H7" s="3"/>
      <c r="I7" s="3"/>
      <c r="J7" s="3"/>
      <c r="K7" s="3"/>
      <c r="L7" s="3"/>
      <c r="M7" s="3"/>
      <c r="N7" s="3">
        <f ca="1">IFERROR(__xludf.DUMMYFUNCTION("""COMPUTED_VALUE"""),66)</f>
        <v>66</v>
      </c>
      <c r="O7" s="3"/>
      <c r="P7" s="3"/>
      <c r="Q7" s="3"/>
      <c r="R7" s="3"/>
      <c r="S7" s="3"/>
      <c r="T7" s="3" t="str">
        <f ca="1">IFERROR(__xludf.DUMMYFUNCTION("""COMPUTED_VALUE"""),"McKinley")</f>
        <v>McKinley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IFERROR(__xludf.DUMMYFUNCTION("""COMPUTED_VALUE"""),45531.5974305555)</f>
        <v>45531.597430555499</v>
      </c>
      <c r="B8" s="3" t="str">
        <f ca="1">IFERROR(__xludf.DUMMYFUNCTION("""COMPUTED_VALUE"""),"akordelis2@normanps.org")</f>
        <v>akordelis2@normanps.org</v>
      </c>
      <c r="C8" s="3">
        <f ca="1">IFERROR(__xludf.DUMMYFUNCTION("""COMPUTED_VALUE"""),1)</f>
        <v>1</v>
      </c>
      <c r="D8" s="3">
        <f ca="1">IFERROR(__xludf.DUMMYFUNCTION("""COMPUTED_VALUE"""),1)</f>
        <v>1</v>
      </c>
      <c r="E8" s="3">
        <f ca="1">IFERROR(__xludf.DUMMYFUNCTION("""COMPUTED_VALUE"""),1)</f>
        <v>1</v>
      </c>
      <c r="F8" s="6">
        <f ca="1">IFERROR(__xludf.DUMMYFUNCTION("""COMPUTED_VALUE"""),1)</f>
        <v>1</v>
      </c>
      <c r="G8" s="3">
        <f ca="1">IFERROR(__xludf.DUMMYFUNCTION("""COMPUTED_VALUE"""),1)</f>
        <v>1</v>
      </c>
      <c r="H8" s="3">
        <f ca="1">IFERROR(__xludf.DUMMYFUNCTION("""COMPUTED_VALUE"""),1)</f>
        <v>1</v>
      </c>
      <c r="I8" s="3" t="str">
        <f ca="1">IFERROR(__xludf.DUMMYFUNCTION("""COMPUTED_VALUE"""),"Inquire")</f>
        <v>Inquire</v>
      </c>
      <c r="J8" s="3" t="str">
        <f ca="1">IFERROR(__xludf.DUMMYFUNCTION("""COMPUTED_VALUE"""),"ELA")</f>
        <v>ELA</v>
      </c>
      <c r="K8" s="3" t="str">
        <f ca="1">IFERROR(__xludf.DUMMYFUNCTION("""COMPUTED_VALUE"""),"Prek")</f>
        <v>Prek</v>
      </c>
      <c r="L8" s="3" t="str">
        <f ca="1">IFERROR(__xludf.DUMMYFUNCTION("""COMPUTED_VALUE"""),"Air Dry Clay")</f>
        <v>Air Dry Clay</v>
      </c>
      <c r="M8" s="3">
        <f ca="1">IFERROR(__xludf.DUMMYFUNCTION("""COMPUTED_VALUE"""),1)</f>
        <v>1</v>
      </c>
      <c r="N8" s="3">
        <f ca="1">IFERROR(__xludf.DUMMYFUNCTION("""COMPUTED_VALUE"""),1)</f>
        <v>1</v>
      </c>
      <c r="O8" s="3">
        <f ca="1">IFERROR(__xludf.DUMMYFUNCTION("""COMPUTED_VALUE"""),1)</f>
        <v>1</v>
      </c>
      <c r="P8" s="3" t="str">
        <f ca="1">IFERROR(__xludf.DUMMYFUNCTION("""COMPUTED_VALUE"""),"Pioneer")</f>
        <v>Pioneer</v>
      </c>
      <c r="Q8" s="3" t="str">
        <f ca="1">IFERROR(__xludf.DUMMYFUNCTION("""COMPUTED_VALUE"""),"OLA")</f>
        <v>OLA</v>
      </c>
      <c r="R8" s="3" t="str">
        <f ca="1">IFERROR(__xludf.DUMMYFUNCTION("""COMPUTED_VALUE"""),"Literacy Night")</f>
        <v>Literacy Night</v>
      </c>
      <c r="S8" s="3">
        <f ca="1">IFERROR(__xludf.DUMMYFUNCTION("""COMPUTED_VALUE"""),1)</f>
        <v>1</v>
      </c>
      <c r="T8" s="3" t="str">
        <f ca="1">IFERROR(__xludf.DUMMYFUNCTION("""COMPUTED_VALUE"""),"McKinley")</f>
        <v>McKinley</v>
      </c>
      <c r="U8" s="3"/>
      <c r="V8" s="3"/>
      <c r="W8" s="3"/>
      <c r="X8" s="3"/>
      <c r="Y8" s="3"/>
      <c r="Z8" s="3"/>
      <c r="AA8" s="3"/>
      <c r="AB8" s="3"/>
      <c r="AC8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J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'Monroe'"",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IFERROR(__xludf.DUMMYFUNCTION("""COMPUTED_VALUE"""),45538.417727824)</f>
        <v>45538.417727824002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IFERROR(__xludf.DUMMYFUNCTION("""COMPUTED_VALUE"""),1023)</f>
        <v>1023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IFERROR(__xludf.DUMMYFUNCTION("""COMPUTED_VALUE"""),0)</f>
        <v>0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IFERROR(__xludf.DUMMYFUNCTION("""COMPUTED_VALUE"""),"Monroe")</f>
        <v>Monroe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IFERROR(__xludf.DUMMYFUNCTION("""COMPUTED_VALUE"""),45573.4174307291)</f>
        <v>45573.417430729103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IFERROR(__xludf.DUMMYFUNCTION("""COMPUTED_VALUE"""),1308)</f>
        <v>1308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IFERROR(__xludf.DUMMYFUNCTION("""COMPUTED_VALUE"""),0)</f>
        <v>0</v>
      </c>
      <c r="O3" s="3"/>
      <c r="P3" s="3"/>
      <c r="Q3" s="3"/>
      <c r="R3" s="3"/>
      <c r="S3" s="3"/>
      <c r="T3" s="3" t="str">
        <f ca="1">IFERROR(__xludf.DUMMYFUNCTION("""COMPUTED_VALUE"""),"Monroe")</f>
        <v>Monroe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IFERROR(__xludf.DUMMYFUNCTION("""COMPUTED_VALUE"""),45644.5382825231)</f>
        <v>45644.538282523099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IFERROR(__xludf.DUMMYFUNCTION("""COMPUTED_VALUE"""),1334)</f>
        <v>1334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IFERROR(__xludf.DUMMYFUNCTION("""COMPUTED_VALUE"""),20)</f>
        <v>20</v>
      </c>
      <c r="O4" s="3"/>
      <c r="P4" s="3"/>
      <c r="Q4" s="3"/>
      <c r="R4" s="3"/>
      <c r="S4" s="3"/>
      <c r="T4" s="3" t="str">
        <f ca="1">IFERROR(__xludf.DUMMYFUNCTION("""COMPUTED_VALUE"""),"Monroe")</f>
        <v>Monroe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IFERROR(__xludf.DUMMYFUNCTION("""COMPUTED_VALUE"""),45672.4291230555)</f>
        <v>45672.429123055503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IFERROR(__xludf.DUMMYFUNCTION("""COMPUTED_VALUE"""),430)</f>
        <v>430</v>
      </c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tr">
        <f ca="1">IFERROR(__xludf.DUMMYFUNCTION("""COMPUTED_VALUE"""),"Monroe")</f>
        <v>Monroe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IFERROR(__xludf.DUMMYFUNCTION("""COMPUTED_VALUE"""),45693.482856956)</f>
        <v>45693.482856955998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IFERROR(__xludf.DUMMYFUNCTION("""COMPUTED_VALUE"""),734)</f>
        <v>734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IFERROR(__xludf.DUMMYFUNCTION("""COMPUTED_VALUE"""),0)</f>
        <v>0</v>
      </c>
      <c r="O6" s="3"/>
      <c r="P6" s="3"/>
      <c r="Q6" s="3"/>
      <c r="R6" s="3"/>
      <c r="S6" s="3"/>
      <c r="T6" s="3" t="str">
        <f ca="1">IFERROR(__xludf.DUMMYFUNCTION("""COMPUTED_VALUE"""),"Monroe")</f>
        <v>Monroe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IFERROR(__xludf.DUMMYFUNCTION("""COMPUTED_VALUE"""),45530.5974305555)</f>
        <v>45530.597430555499</v>
      </c>
      <c r="B7" s="3" t="str">
        <f ca="1">IFERROR(__xludf.DUMMYFUNCTION("""COMPUTED_VALUE"""),"akordelis2@normanps.org")</f>
        <v>akordelis2@normanps.org</v>
      </c>
      <c r="C7" s="3">
        <f ca="1">IFERROR(__xludf.DUMMYFUNCTION("""COMPUTED_VALUE"""),1)</f>
        <v>1</v>
      </c>
      <c r="D7" s="3">
        <f ca="1">IFERROR(__xludf.DUMMYFUNCTION("""COMPUTED_VALUE"""),1)</f>
        <v>1</v>
      </c>
      <c r="E7" s="3">
        <f ca="1">IFERROR(__xludf.DUMMYFUNCTION("""COMPUTED_VALUE"""),1)</f>
        <v>1</v>
      </c>
      <c r="F7" s="6">
        <f ca="1">IFERROR(__xludf.DUMMYFUNCTION("""COMPUTED_VALUE"""),1)</f>
        <v>1</v>
      </c>
      <c r="G7" s="3">
        <f ca="1">IFERROR(__xludf.DUMMYFUNCTION("""COMPUTED_VALUE"""),1)</f>
        <v>1</v>
      </c>
      <c r="H7" s="3">
        <f ca="1">IFERROR(__xludf.DUMMYFUNCTION("""COMPUTED_VALUE"""),1)</f>
        <v>1</v>
      </c>
      <c r="I7" s="3" t="str">
        <f ca="1">IFERROR(__xludf.DUMMYFUNCTION("""COMPUTED_VALUE"""),"Inquire")</f>
        <v>Inquire</v>
      </c>
      <c r="J7" s="3" t="str">
        <f ca="1">IFERROR(__xludf.DUMMYFUNCTION("""COMPUTED_VALUE"""),"ELA")</f>
        <v>ELA</v>
      </c>
      <c r="K7" s="3" t="str">
        <f ca="1">IFERROR(__xludf.DUMMYFUNCTION("""COMPUTED_VALUE"""),"Prek")</f>
        <v>Prek</v>
      </c>
      <c r="L7" s="3" t="str">
        <f ca="1">IFERROR(__xludf.DUMMYFUNCTION("""COMPUTED_VALUE"""),"Air Dry Clay")</f>
        <v>Air Dry Clay</v>
      </c>
      <c r="M7" s="3">
        <f ca="1">IFERROR(__xludf.DUMMYFUNCTION("""COMPUTED_VALUE"""),1)</f>
        <v>1</v>
      </c>
      <c r="N7" s="3">
        <f ca="1">IFERROR(__xludf.DUMMYFUNCTION("""COMPUTED_VALUE"""),1)</f>
        <v>1</v>
      </c>
      <c r="O7" s="3">
        <f ca="1">IFERROR(__xludf.DUMMYFUNCTION("""COMPUTED_VALUE"""),1)</f>
        <v>1</v>
      </c>
      <c r="P7" s="3" t="str">
        <f ca="1">IFERROR(__xludf.DUMMYFUNCTION("""COMPUTED_VALUE"""),"Pioneer")</f>
        <v>Pioneer</v>
      </c>
      <c r="Q7" s="3" t="str">
        <f ca="1">IFERROR(__xludf.DUMMYFUNCTION("""COMPUTED_VALUE"""),"OLA")</f>
        <v>OLA</v>
      </c>
      <c r="R7" s="3" t="str">
        <f ca="1">IFERROR(__xludf.DUMMYFUNCTION("""COMPUTED_VALUE"""),"Literacy Night")</f>
        <v>Literacy Night</v>
      </c>
      <c r="S7" s="3">
        <f ca="1">IFERROR(__xludf.DUMMYFUNCTION("""COMPUTED_VALUE"""),1)</f>
        <v>1</v>
      </c>
      <c r="T7" s="3" t="str">
        <f ca="1">IFERROR(__xludf.DUMMYFUNCTION("""COMPUTED_VALUE"""),"Monroe")</f>
        <v>Monroe</v>
      </c>
      <c r="U7" s="3"/>
      <c r="V7" s="3"/>
      <c r="W7" s="3"/>
      <c r="X7" s="3"/>
      <c r="Y7" s="3"/>
      <c r="Z7" s="3"/>
      <c r="AA7" s="3"/>
      <c r="AB7" s="3"/>
      <c r="AC7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J2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'Reagan'"",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IFERROR(__xludf.DUMMYFUNCTION("""COMPUTED_VALUE"""),45538.4179865625)</f>
        <v>45538.417986562497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IFERROR(__xludf.DUMMYFUNCTION("""COMPUTED_VALUE"""),1263)</f>
        <v>1263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IFERROR(__xludf.DUMMYFUNCTION("""COMPUTED_VALUE"""),31)</f>
        <v>31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IFERROR(__xludf.DUMMYFUNCTION("""COMPUTED_VALUE"""),"Reagan")</f>
        <v>Reagan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IFERROR(__xludf.DUMMYFUNCTION("""COMPUTED_VALUE"""),45565.5028403356)</f>
        <v>45565.502840335597</v>
      </c>
      <c r="B3" s="3" t="str">
        <f ca="1">IFERROR(__xludf.DUMMYFUNCTION("""COMPUTED_VALUE"""),"mmairet@normanps.org")</f>
        <v>mmairet@normanps.org</v>
      </c>
      <c r="C3" s="3"/>
      <c r="D3" s="3">
        <f ca="1">IFERROR(__xludf.DUMMYFUNCTION("""COMPUTED_VALUE"""),16)</f>
        <v>16</v>
      </c>
      <c r="E3" s="3"/>
      <c r="F3" s="6"/>
      <c r="G3" s="3">
        <f ca="1">IFERROR(__xludf.DUMMYFUNCTION("""COMPUTED_VALUE"""),25)</f>
        <v>25</v>
      </c>
      <c r="H3" s="3">
        <f ca="1">IFERROR(__xludf.DUMMYFUNCTION("""COMPUTED_VALUE"""),12)</f>
        <v>12</v>
      </c>
      <c r="I3" s="3" t="str">
        <f ca="1">IFERROR(__xludf.DUMMYFUNCTION("""COMPUTED_VALUE"""),"Collaborate")</f>
        <v>Collaborate</v>
      </c>
      <c r="J3" s="3" t="str">
        <f ca="1">IFERROR(__xludf.DUMMYFUNCTION("""COMPUTED_VALUE"""),"Social Studies")</f>
        <v>Social Studies</v>
      </c>
      <c r="K3" s="3" t="str">
        <f ca="1">IFERROR(__xludf.DUMMYFUNCTION("""COMPUTED_VALUE"""),"Fifth")</f>
        <v>Fifth</v>
      </c>
      <c r="L3" s="3" t="str">
        <f ca="1">IFERROR(__xludf.DUMMYFUNCTION("""COMPUTED_VALUE"""),"Puzzles")</f>
        <v>Puzzles</v>
      </c>
      <c r="M3" s="3">
        <f ca="1">IFERROR(__xludf.DUMMYFUNCTION("""COMPUTED_VALUE"""),1)</f>
        <v>1</v>
      </c>
      <c r="N3" s="3"/>
      <c r="O3" s="3"/>
      <c r="P3" s="3"/>
      <c r="Q3" s="3" t="str">
        <f ca="1">IFERROR(__xludf.DUMMYFUNCTION("""COMPUTED_VALUE"""),"Norman NEXT")</f>
        <v>Norman NEXT</v>
      </c>
      <c r="R3" s="3" t="str">
        <f ca="1">IFERROR(__xludf.DUMMYFUNCTION("""COMPUTED_VALUE"""),"I Spy trophy case")</f>
        <v>I Spy trophy case</v>
      </c>
      <c r="S3" s="3"/>
      <c r="T3" s="3" t="str">
        <f ca="1">IFERROR(__xludf.DUMMYFUNCTION("""COMPUTED_VALUE"""),"Reagan")</f>
        <v>Reagan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IFERROR(__xludf.DUMMYFUNCTION("""COMPUTED_VALUE"""),45565.5036223726)</f>
        <v>45565.503622372598</v>
      </c>
      <c r="B4" s="3" t="str">
        <f ca="1">IFERROR(__xludf.DUMMYFUNCTION("""COMPUTED_VALUE"""),"mmairet@normanps.org")</f>
        <v>mmairet@normanps.org</v>
      </c>
      <c r="C4" s="3"/>
      <c r="D4" s="3"/>
      <c r="E4" s="3"/>
      <c r="F4" s="6"/>
      <c r="G4" s="3"/>
      <c r="H4" s="3"/>
      <c r="I4" s="3" t="str">
        <f ca="1">IFERROR(__xludf.DUMMYFUNCTION("""COMPUTED_VALUE"""),"Inquire")</f>
        <v>Inquire</v>
      </c>
      <c r="J4" s="3" t="str">
        <f ca="1">IFERROR(__xludf.DUMMYFUNCTION("""COMPUTED_VALUE"""),"Science")</f>
        <v>Science</v>
      </c>
      <c r="K4" s="3" t="str">
        <f ca="1">IFERROR(__xludf.DUMMYFUNCTION("""COMPUTED_VALUE"""),"Third")</f>
        <v>Third</v>
      </c>
      <c r="L4" s="3"/>
      <c r="M4" s="3"/>
      <c r="N4" s="3"/>
      <c r="O4" s="3"/>
      <c r="P4" s="3"/>
      <c r="Q4" s="3" t="str">
        <f ca="1">IFERROR(__xludf.DUMMYFUNCTION("""COMPUTED_VALUE"""),"Superintendent's Executive Leadership Council")</f>
        <v>Superintendent's Executive Leadership Council</v>
      </c>
      <c r="R4" s="3"/>
      <c r="S4" s="3"/>
      <c r="T4" s="3" t="str">
        <f ca="1">IFERROR(__xludf.DUMMYFUNCTION("""COMPUTED_VALUE"""),"Reagan")</f>
        <v>Reagan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IFERROR(__xludf.DUMMYFUNCTION("""COMPUTED_VALUE"""),45567.4936349305)</f>
        <v>45567.493634930499</v>
      </c>
      <c r="B5" s="3" t="str">
        <f ca="1">IFERROR(__xludf.DUMMYFUNCTION("""COMPUTED_VALUE"""),"mmairet@normanps.org")</f>
        <v>mmairet@normanps.org</v>
      </c>
      <c r="C5" s="3">
        <f ca="1">IFERROR(__xludf.DUMMYFUNCTION("""COMPUTED_VALUE"""),1558)</f>
        <v>1558</v>
      </c>
      <c r="D5" s="3">
        <f ca="1">IFERROR(__xludf.DUMMYFUNCTION("""COMPUTED_VALUE"""),4)</f>
        <v>4</v>
      </c>
      <c r="E5" s="3"/>
      <c r="F5" s="6"/>
      <c r="G5" s="3"/>
      <c r="H5" s="3">
        <f ca="1">IFERROR(__xludf.DUMMYFUNCTION("""COMPUTED_VALUE"""),4)</f>
        <v>4</v>
      </c>
      <c r="I5" s="3" t="str">
        <f ca="1">IFERROR(__xludf.DUMMYFUNCTION("""COMPUTED_VALUE"""),"Explore")</f>
        <v>Explore</v>
      </c>
      <c r="J5" s="3" t="str">
        <f ca="1">IFERROR(__xludf.DUMMYFUNCTION("""COMPUTED_VALUE"""),"ELA")</f>
        <v>ELA</v>
      </c>
      <c r="K5" s="3" t="str">
        <f ca="1">IFERROR(__xludf.DUMMYFUNCTION("""COMPUTED_VALUE"""),"Fifth")</f>
        <v>Fifth</v>
      </c>
      <c r="L5" s="3" t="str">
        <f ca="1">IFERROR(__xludf.DUMMYFUNCTION("""COMPUTED_VALUE"""),"coloring page")</f>
        <v>coloring page</v>
      </c>
      <c r="M5" s="3"/>
      <c r="N5" s="3"/>
      <c r="O5" s="3"/>
      <c r="P5" s="3" t="str">
        <f ca="1">IFERROR(__xludf.DUMMYFUNCTION("""COMPUTED_VALUE"""),"Pioneer")</f>
        <v>Pioneer</v>
      </c>
      <c r="Q5" s="3"/>
      <c r="R5" s="3"/>
      <c r="S5" s="3">
        <f ca="1">IFERROR(__xludf.DUMMYFUNCTION("""COMPUTED_VALUE"""),1)</f>
        <v>1</v>
      </c>
      <c r="T5" s="3" t="str">
        <f ca="1">IFERROR(__xludf.DUMMYFUNCTION("""COMPUTED_VALUE"""),"Reagan")</f>
        <v>Reagan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IFERROR(__xludf.DUMMYFUNCTION("""COMPUTED_VALUE"""),45569.3611582986)</f>
        <v>45569.361158298598</v>
      </c>
      <c r="B6" s="3" t="str">
        <f ca="1">IFERROR(__xludf.DUMMYFUNCTION("""COMPUTED_VALUE"""),"mmairet@normanps.org")</f>
        <v>mmairet@normanps.org</v>
      </c>
      <c r="C6" s="3"/>
      <c r="D6" s="3">
        <f ca="1">IFERROR(__xludf.DUMMYFUNCTION("""COMPUTED_VALUE"""),8)</f>
        <v>8</v>
      </c>
      <c r="E6" s="3"/>
      <c r="F6" s="6"/>
      <c r="G6" s="3">
        <f ca="1">IFERROR(__xludf.DUMMYFUNCTION("""COMPUTED_VALUE"""),25)</f>
        <v>25</v>
      </c>
      <c r="H6" s="3">
        <f ca="1">IFERROR(__xludf.DUMMYFUNCTION("""COMPUTED_VALUE"""),4)</f>
        <v>4</v>
      </c>
      <c r="I6" s="3" t="str">
        <f ca="1">IFERROR(__xludf.DUMMYFUNCTION("""COMPUTED_VALUE"""),"Include")</f>
        <v>Include</v>
      </c>
      <c r="J6" s="3" t="str">
        <f ca="1">IFERROR(__xludf.DUMMYFUNCTION("""COMPUTED_VALUE"""),"ELA")</f>
        <v>ELA</v>
      </c>
      <c r="K6" s="3" t="str">
        <f ca="1">IFERROR(__xludf.DUMMYFUNCTION("""COMPUTED_VALUE"""),"Kindergarten")</f>
        <v>Kindergarten</v>
      </c>
      <c r="L6" s="3" t="str">
        <f ca="1">IFERROR(__xludf.DUMMYFUNCTION("""COMPUTED_VALUE"""),"string figures")</f>
        <v>string figures</v>
      </c>
      <c r="M6" s="3">
        <f ca="1">IFERROR(__xludf.DUMMYFUNCTION("""COMPUTED_VALUE"""),0)</f>
        <v>0</v>
      </c>
      <c r="N6" s="3"/>
      <c r="O6" s="3"/>
      <c r="P6" s="3" t="str">
        <f ca="1">IFERROR(__xludf.DUMMYFUNCTION("""COMPUTED_VALUE"""),"PLS")</f>
        <v>PLS</v>
      </c>
      <c r="Q6" s="3"/>
      <c r="R6" s="3"/>
      <c r="S6" s="3">
        <f ca="1">IFERROR(__xludf.DUMMYFUNCTION("""COMPUTED_VALUE"""),1)</f>
        <v>1</v>
      </c>
      <c r="T6" s="3" t="str">
        <f ca="1">IFERROR(__xludf.DUMMYFUNCTION("""COMPUTED_VALUE"""),"Reagan")</f>
        <v>Reagan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IFERROR(__xludf.DUMMYFUNCTION("""COMPUTED_VALUE"""),45573.4178243634)</f>
        <v>45573.417824363401</v>
      </c>
      <c r="B7" s="3" t="str">
        <f ca="1">IFERROR(__xludf.DUMMYFUNCTION("""COMPUTED_VALUE"""),"sschrank@normanps.org")</f>
        <v>sschrank@normanps.org</v>
      </c>
      <c r="C7" s="3">
        <f ca="1">IFERROR(__xludf.DUMMYFUNCTION("""COMPUTED_VALUE"""),1563)</f>
        <v>1563</v>
      </c>
      <c r="D7" s="3"/>
      <c r="E7" s="3"/>
      <c r="F7" s="6"/>
      <c r="G7" s="3"/>
      <c r="H7" s="3"/>
      <c r="I7" s="3"/>
      <c r="J7" s="3"/>
      <c r="K7" s="3"/>
      <c r="L7" s="3"/>
      <c r="M7" s="3"/>
      <c r="N7" s="3">
        <f ca="1">IFERROR(__xludf.DUMMYFUNCTION("""COMPUTED_VALUE"""),103)</f>
        <v>103</v>
      </c>
      <c r="O7" s="3"/>
      <c r="P7" s="3"/>
      <c r="Q7" s="3"/>
      <c r="R7" s="3"/>
      <c r="S7" s="3"/>
      <c r="T7" s="3" t="str">
        <f ca="1">IFERROR(__xludf.DUMMYFUNCTION("""COMPUTED_VALUE"""),"Reagan")</f>
        <v>Reagan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IFERROR(__xludf.DUMMYFUNCTION("""COMPUTED_VALUE"""),45593.2900470486)</f>
        <v>45593.290047048598</v>
      </c>
      <c r="B8" s="3" t="str">
        <f ca="1">IFERROR(__xludf.DUMMYFUNCTION("""COMPUTED_VALUE"""),"mmairet@normanps.org")</f>
        <v>mmairet@normanps.org</v>
      </c>
      <c r="C8" s="3"/>
      <c r="D8" s="3">
        <f ca="1">IFERROR(__xludf.DUMMYFUNCTION("""COMPUTED_VALUE"""),12)</f>
        <v>12</v>
      </c>
      <c r="E8" s="3"/>
      <c r="F8" s="6"/>
      <c r="G8" s="3">
        <f ca="1">IFERROR(__xludf.DUMMYFUNCTION("""COMPUTED_VALUE"""),25)</f>
        <v>25</v>
      </c>
      <c r="H8" s="3">
        <f ca="1">IFERROR(__xludf.DUMMYFUNCTION("""COMPUTED_VALUE"""),2)</f>
        <v>2</v>
      </c>
      <c r="I8" s="3"/>
      <c r="J8" s="3" t="str">
        <f ca="1">IFERROR(__xludf.DUMMYFUNCTION("""COMPUTED_VALUE"""),"ELA")</f>
        <v>ELA</v>
      </c>
      <c r="K8" s="3" t="str">
        <f ca="1">IFERROR(__xludf.DUMMYFUNCTION("""COMPUTED_VALUE"""),"Second")</f>
        <v>Second</v>
      </c>
      <c r="L8" s="3" t="str">
        <f ca="1">IFERROR(__xludf.DUMMYFUNCTION("""COMPUTED_VALUE"""),"3D Pens")</f>
        <v>3D Pens</v>
      </c>
      <c r="M8" s="3"/>
      <c r="N8" s="3"/>
      <c r="O8" s="3"/>
      <c r="P8" s="3" t="str">
        <f ca="1">IFERROR(__xludf.DUMMYFUNCTION("""COMPUTED_VALUE"""),"Pioneer Library System")</f>
        <v>Pioneer Library System</v>
      </c>
      <c r="Q8" s="3" t="str">
        <f ca="1">IFERROR(__xludf.DUMMYFUNCTION("""COMPUTED_VALUE"""),"Superintendent's Executive Committee  ")</f>
        <v xml:space="preserve">Superintendent's Executive Committee  </v>
      </c>
      <c r="R8" s="3" t="str">
        <f ca="1">IFERROR(__xludf.DUMMYFUNCTION("""COMPUTED_VALUE"""),"Parent Teacher Conferences")</f>
        <v>Parent Teacher Conferences</v>
      </c>
      <c r="S8" s="3"/>
      <c r="T8" s="3" t="str">
        <f ca="1">IFERROR(__xludf.DUMMYFUNCTION("""COMPUTED_VALUE"""),"Reagan")</f>
        <v>Reagan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IFERROR(__xludf.DUMMYFUNCTION("""COMPUTED_VALUE"""),45600.3029094097)</f>
        <v>45600.3029094097</v>
      </c>
      <c r="B9" s="3" t="str">
        <f ca="1">IFERROR(__xludf.DUMMYFUNCTION("""COMPUTED_VALUE"""),"mmairet@normanps.org")</f>
        <v>mmairet@normanps.org</v>
      </c>
      <c r="C9" s="3"/>
      <c r="D9" s="3">
        <f ca="1">IFERROR(__xludf.DUMMYFUNCTION("""COMPUTED_VALUE"""),12)</f>
        <v>12</v>
      </c>
      <c r="E9" s="3"/>
      <c r="F9" s="6">
        <f ca="1">IFERROR(__xludf.DUMMYFUNCTION("""COMPUTED_VALUE"""),0)</f>
        <v>0</v>
      </c>
      <c r="G9" s="3">
        <f ca="1">IFERROR(__xludf.DUMMYFUNCTION("""COMPUTED_VALUE"""),20)</f>
        <v>20</v>
      </c>
      <c r="H9" s="3">
        <f ca="1">IFERROR(__xludf.DUMMYFUNCTION("""COMPUTED_VALUE"""),2)</f>
        <v>2</v>
      </c>
      <c r="I9" s="3"/>
      <c r="J9" s="3" t="str">
        <f ca="1">IFERROR(__xludf.DUMMYFUNCTION("""COMPUTED_VALUE"""),"ELA")</f>
        <v>ELA</v>
      </c>
      <c r="K9" s="3" t="str">
        <f ca="1">IFERROR(__xludf.DUMMYFUNCTION("""COMPUTED_VALUE"""),"Elementary multi-grade class")</f>
        <v>Elementary multi-grade class</v>
      </c>
      <c r="L9" s="3" t="str">
        <f ca="1">IFERROR(__xludf.DUMMYFUNCTION("""COMPUTED_VALUE"""),"Beads")</f>
        <v>Beads</v>
      </c>
      <c r="M9" s="3">
        <f ca="1">IFERROR(__xludf.DUMMYFUNCTION("""COMPUTED_VALUE"""),0)</f>
        <v>0</v>
      </c>
      <c r="N9" s="3"/>
      <c r="O9" s="3"/>
      <c r="P9" s="3" t="str">
        <f ca="1">IFERROR(__xludf.DUMMYFUNCTION("""COMPUTED_VALUE"""),"Rotary Club")</f>
        <v>Rotary Club</v>
      </c>
      <c r="Q9" s="3" t="str">
        <f ca="1">IFERROR(__xludf.DUMMYFUNCTION("""COMPUTED_VALUE"""),"Superintendent Executive Leadership Meeting")</f>
        <v>Superintendent Executive Leadership Meeting</v>
      </c>
      <c r="R9" s="3" t="str">
        <f ca="1">IFERROR(__xludf.DUMMYFUNCTION("""COMPUTED_VALUE"""),"Math/Science Night")</f>
        <v>Math/Science Night</v>
      </c>
      <c r="S9" s="3">
        <f ca="1">IFERROR(__xludf.DUMMYFUNCTION("""COMPUTED_VALUE"""),1)</f>
        <v>1</v>
      </c>
      <c r="T9" s="3" t="str">
        <f ca="1">IFERROR(__xludf.DUMMYFUNCTION("""COMPUTED_VALUE"""),"Reagan")</f>
        <v>Reagan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IFERROR(__xludf.DUMMYFUNCTION("""COMPUTED_VALUE"""),45607.364308993)</f>
        <v>45607.364308992997</v>
      </c>
      <c r="B10" s="3" t="str">
        <f ca="1">IFERROR(__xludf.DUMMYFUNCTION("""COMPUTED_VALUE"""),"mmairet@normanps.org")</f>
        <v>mmairet@normanps.org</v>
      </c>
      <c r="C10" s="3"/>
      <c r="D10" s="3">
        <f ca="1">IFERROR(__xludf.DUMMYFUNCTION("""COMPUTED_VALUE"""),14)</f>
        <v>14</v>
      </c>
      <c r="E10" s="3"/>
      <c r="F10" s="6"/>
      <c r="G10" s="3">
        <f ca="1">IFERROR(__xludf.DUMMYFUNCTION("""COMPUTED_VALUE"""),20)</f>
        <v>20</v>
      </c>
      <c r="H10" s="3">
        <f ca="1">IFERROR(__xludf.DUMMYFUNCTION("""COMPUTED_VALUE"""),2)</f>
        <v>2</v>
      </c>
      <c r="I10" s="3" t="str">
        <f ca="1">IFERROR(__xludf.DUMMYFUNCTION("""COMPUTED_VALUE"""),"Engage")</f>
        <v>Engage</v>
      </c>
      <c r="J10" s="3" t="str">
        <f ca="1">IFERROR(__xludf.DUMMYFUNCTION("""COMPUTED_VALUE"""),"ELA")</f>
        <v>ELA</v>
      </c>
      <c r="K10" s="3"/>
      <c r="L10" s="3" t="str">
        <f ca="1">IFERROR(__xludf.DUMMYFUNCTION("""COMPUTED_VALUE"""),"legos")</f>
        <v>legos</v>
      </c>
      <c r="M10" s="3">
        <f ca="1">IFERROR(__xludf.DUMMYFUNCTION("""COMPUTED_VALUE"""),16)</f>
        <v>16</v>
      </c>
      <c r="N10" s="3"/>
      <c r="O10" s="3"/>
      <c r="P10" s="3"/>
      <c r="Q10" s="3"/>
      <c r="R10" s="3"/>
      <c r="S10" s="3"/>
      <c r="T10" s="3" t="str">
        <f ca="1">IFERROR(__xludf.DUMMYFUNCTION("""COMPUTED_VALUE"""),"Reagan")</f>
        <v>Reagan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IFERROR(__xludf.DUMMYFUNCTION("""COMPUTED_VALUE"""),45644.5390092361)</f>
        <v>45644.539009236098</v>
      </c>
      <c r="B11" s="3" t="str">
        <f ca="1">IFERROR(__xludf.DUMMYFUNCTION("""COMPUTED_VALUE"""),"sschrank@normanps.org")</f>
        <v>sschrank@normanps.org</v>
      </c>
      <c r="C11" s="3">
        <f ca="1">IFERROR(__xludf.DUMMYFUNCTION("""COMPUTED_VALUE"""),11082)</f>
        <v>11082</v>
      </c>
      <c r="D11" s="3"/>
      <c r="E11" s="3"/>
      <c r="F11" s="6"/>
      <c r="G11" s="3"/>
      <c r="H11" s="3"/>
      <c r="I11" s="3"/>
      <c r="J11" s="3"/>
      <c r="K11" s="3"/>
      <c r="L11" s="3"/>
      <c r="M11" s="3"/>
      <c r="N11" s="3">
        <f ca="1">IFERROR(__xludf.DUMMYFUNCTION("""COMPUTED_VALUE"""),316)</f>
        <v>316</v>
      </c>
      <c r="O11" s="3"/>
      <c r="P11" s="3"/>
      <c r="Q11" s="3"/>
      <c r="R11" s="3"/>
      <c r="S11" s="3"/>
      <c r="T11" s="3" t="str">
        <f ca="1">IFERROR(__xludf.DUMMYFUNCTION("""COMPUTED_VALUE"""),"Reagan")</f>
        <v>Reagan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IFERROR(__xludf.DUMMYFUNCTION("""COMPUTED_VALUE"""),45644.5565490393)</f>
        <v>45644.556549039298</v>
      </c>
      <c r="B12" s="3" t="str">
        <f ca="1">IFERROR(__xludf.DUMMYFUNCTION("""COMPUTED_VALUE"""),"sschrank@normanps.org")</f>
        <v>sschrank@normanps.org</v>
      </c>
      <c r="C12" s="3">
        <f ca="1">IFERROR(__xludf.DUMMYFUNCTION("""COMPUTED_VALUE"""),-10000)</f>
        <v>-10000</v>
      </c>
      <c r="D12" s="3"/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IFERROR(__xludf.DUMMYFUNCTION("""COMPUTED_VALUE"""),"Reagan")</f>
        <v>Reagan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IFERROR(__xludf.DUMMYFUNCTION("""COMPUTED_VALUE"""),45644.5601909259)</f>
        <v>45644.560190925898</v>
      </c>
      <c r="B13" s="3" t="str">
        <f ca="1">IFERROR(__xludf.DUMMYFUNCTION("""COMPUTED_VALUE"""),"sschrank@normanps.org")</f>
        <v>sschrank@normanps.org</v>
      </c>
      <c r="C13" s="3">
        <f ca="1">IFERROR(__xludf.DUMMYFUNCTION("""COMPUTED_VALUE"""),-10000)</f>
        <v>-10000</v>
      </c>
      <c r="D13" s="3"/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IFERROR(__xludf.DUMMYFUNCTION("""COMPUTED_VALUE"""),"Reagan")</f>
        <v>Reagan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IFERROR(__xludf.DUMMYFUNCTION("""COMPUTED_VALUE"""),45644.5635312268)</f>
        <v>45644.563531226799</v>
      </c>
      <c r="B14" s="3" t="str">
        <f ca="1">IFERROR(__xludf.DUMMYFUNCTION("""COMPUTED_VALUE"""),"sschrank@normanps.org")</f>
        <v>sschrank@normanps.org</v>
      </c>
      <c r="C14" s="3">
        <f ca="1">IFERROR(__xludf.DUMMYFUNCTION("""COMPUTED_VALUE"""),-10000)</f>
        <v>-10000</v>
      </c>
      <c r="D14" s="3"/>
      <c r="E14" s="3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IFERROR(__xludf.DUMMYFUNCTION("""COMPUTED_VALUE"""),"Reagan")</f>
        <v>Reagan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IFERROR(__xludf.DUMMYFUNCTION("""COMPUTED_VALUE"""),45644.5688456597)</f>
        <v>45644.568845659698</v>
      </c>
      <c r="B15" s="3" t="str">
        <f ca="1">IFERROR(__xludf.DUMMYFUNCTION("""COMPUTED_VALUE"""),"sschrank@normanps.org")</f>
        <v>sschrank@normanps.org</v>
      </c>
      <c r="C15" s="3">
        <f ca="1">IFERROR(__xludf.DUMMYFUNCTION("""COMPUTED_VALUE"""),20000)</f>
        <v>20000</v>
      </c>
      <c r="D15" s="3"/>
      <c r="E15" s="3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IFERROR(__xludf.DUMMYFUNCTION("""COMPUTED_VALUE"""),"Reagan")</f>
        <v>Reagan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IFERROR(__xludf.DUMMYFUNCTION("""COMPUTED_VALUE"""),45646.5062503009)</f>
        <v>45646.506250300903</v>
      </c>
      <c r="B16" s="3" t="str">
        <f ca="1">IFERROR(__xludf.DUMMYFUNCTION("""COMPUTED_VALUE"""),"mmairet@normanps.org")</f>
        <v>mmairet@normanps.org</v>
      </c>
      <c r="C16" s="3"/>
      <c r="D16" s="3">
        <f ca="1">IFERROR(__xludf.DUMMYFUNCTION("""COMPUTED_VALUE"""),15)</f>
        <v>15</v>
      </c>
      <c r="E16" s="3"/>
      <c r="F16" s="6"/>
      <c r="G16" s="3">
        <f ca="1">IFERROR(__xludf.DUMMYFUNCTION("""COMPUTED_VALUE"""),30)</f>
        <v>30</v>
      </c>
      <c r="H16" s="3">
        <f ca="1">IFERROR(__xludf.DUMMYFUNCTION("""COMPUTED_VALUE"""),10)</f>
        <v>10</v>
      </c>
      <c r="I16" s="3"/>
      <c r="J16" s="3" t="str">
        <f ca="1">IFERROR(__xludf.DUMMYFUNCTION("""COMPUTED_VALUE"""),"Social Studies")</f>
        <v>Social Studies</v>
      </c>
      <c r="K16" s="3" t="str">
        <f ca="1">IFERROR(__xludf.DUMMYFUNCTION("""COMPUTED_VALUE"""),"First")</f>
        <v>First</v>
      </c>
      <c r="L16" s="3" t="str">
        <f ca="1">IFERROR(__xludf.DUMMYFUNCTION("""COMPUTED_VALUE"""),"perler beads")</f>
        <v>perler beads</v>
      </c>
      <c r="M16" s="3"/>
      <c r="N16" s="3"/>
      <c r="O16" s="3"/>
      <c r="P16" s="3" t="str">
        <f ca="1">IFERROR(__xludf.DUMMYFUNCTION("""COMPUTED_VALUE"""),"rotary club")</f>
        <v>rotary club</v>
      </c>
      <c r="Q16" s="3" t="str">
        <f ca="1">IFERROR(__xludf.DUMMYFUNCTION("""COMPUTED_VALUE"""),"Superintendents Executive Council ")</f>
        <v xml:space="preserve">Superintendents Executive Council </v>
      </c>
      <c r="R16" s="3"/>
      <c r="S16" s="3"/>
      <c r="T16" s="3" t="str">
        <f ca="1">IFERROR(__xludf.DUMMYFUNCTION("""COMPUTED_VALUE"""),"Reagan")</f>
        <v>Reagan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IFERROR(__xludf.DUMMYFUNCTION("""COMPUTED_VALUE"""),45646.5071721759)</f>
        <v>45646.507172175901</v>
      </c>
      <c r="B17" s="3" t="str">
        <f ca="1">IFERROR(__xludf.DUMMYFUNCTION("""COMPUTED_VALUE"""),"mmairet@normanps.org")</f>
        <v>mmairet@normanps.org</v>
      </c>
      <c r="C17" s="3"/>
      <c r="D17" s="3">
        <f ca="1">IFERROR(__xludf.DUMMYFUNCTION("""COMPUTED_VALUE"""),17)</f>
        <v>17</v>
      </c>
      <c r="E17" s="3"/>
      <c r="F17" s="6"/>
      <c r="G17" s="3">
        <f ca="1">IFERROR(__xludf.DUMMYFUNCTION("""COMPUTED_VALUE"""),30)</f>
        <v>30</v>
      </c>
      <c r="H17" s="3">
        <f ca="1">IFERROR(__xludf.DUMMYFUNCTION("""COMPUTED_VALUE"""),8)</f>
        <v>8</v>
      </c>
      <c r="I17" s="3"/>
      <c r="J17" s="3" t="str">
        <f ca="1">IFERROR(__xludf.DUMMYFUNCTION("""COMPUTED_VALUE"""),"ELA")</f>
        <v>ELA</v>
      </c>
      <c r="K17" s="3" t="str">
        <f ca="1">IFERROR(__xludf.DUMMYFUNCTION("""COMPUTED_VALUE"""),"Elementary multi-grade class")</f>
        <v>Elementary multi-grade class</v>
      </c>
      <c r="L17" s="3" t="str">
        <f ca="1">IFERROR(__xludf.DUMMYFUNCTION("""COMPUTED_VALUE"""),"making crayons")</f>
        <v>making crayons</v>
      </c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IFERROR(__xludf.DUMMYFUNCTION("""COMPUTED_VALUE"""),"Reagan")</f>
        <v>Reagan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IFERROR(__xludf.DUMMYFUNCTION("""COMPUTED_VALUE"""),45670.4597962847)</f>
        <v>45670.459796284696</v>
      </c>
      <c r="B18" s="3" t="str">
        <f ca="1">IFERROR(__xludf.DUMMYFUNCTION("""COMPUTED_VALUE"""),"mmairet@normanps.org")</f>
        <v>mmairet@normanps.org</v>
      </c>
      <c r="C18" s="3"/>
      <c r="D18" s="3">
        <f ca="1">IFERROR(__xludf.DUMMYFUNCTION("""COMPUTED_VALUE"""),25)</f>
        <v>25</v>
      </c>
      <c r="E18" s="3"/>
      <c r="F18" s="6"/>
      <c r="G18" s="3">
        <f ca="1">IFERROR(__xludf.DUMMYFUNCTION("""COMPUTED_VALUE"""),20)</f>
        <v>20</v>
      </c>
      <c r="H18" s="3">
        <f ca="1">IFERROR(__xludf.DUMMYFUNCTION("""COMPUTED_VALUE"""),10)</f>
        <v>10</v>
      </c>
      <c r="I18" s="3" t="str">
        <f ca="1">IFERROR(__xludf.DUMMYFUNCTION("""COMPUTED_VALUE"""),"Explore")</f>
        <v>Explore</v>
      </c>
      <c r="J18" s="3" t="str">
        <f ca="1">IFERROR(__xludf.DUMMYFUNCTION("""COMPUTED_VALUE"""),"Science")</f>
        <v>Science</v>
      </c>
      <c r="K18" s="3" t="str">
        <f ca="1">IFERROR(__xludf.DUMMYFUNCTION("""COMPUTED_VALUE"""),"Fifth")</f>
        <v>Fifth</v>
      </c>
      <c r="L18" s="3" t="str">
        <f ca="1">IFERROR(__xludf.DUMMYFUNCTION("""COMPUTED_VALUE"""),"Friendship Bracelets")</f>
        <v>Friendship Bracelets</v>
      </c>
      <c r="M18" s="3"/>
      <c r="N18" s="3"/>
      <c r="O18" s="3"/>
      <c r="P18" s="3" t="str">
        <f ca="1">IFERROR(__xludf.DUMMYFUNCTION("""COMPUTED_VALUE"""),"PTA")</f>
        <v>PTA</v>
      </c>
      <c r="Q18" s="3"/>
      <c r="R18" s="3"/>
      <c r="S18" s="3">
        <f ca="1">IFERROR(__xludf.DUMMYFUNCTION("""COMPUTED_VALUE"""),0)</f>
        <v>0</v>
      </c>
      <c r="T18" s="3" t="str">
        <f ca="1">IFERROR(__xludf.DUMMYFUNCTION("""COMPUTED_VALUE"""),"Reagan")</f>
        <v>Reagan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IFERROR(__xludf.DUMMYFUNCTION("""COMPUTED_VALUE"""),45672.3405197916)</f>
        <v>45672.3405197916</v>
      </c>
      <c r="B19" s="3" t="str">
        <f ca="1">IFERROR(__xludf.DUMMYFUNCTION("""COMPUTED_VALUE"""),"sschrank@normanps.org")</f>
        <v>sschrank@normanps.org</v>
      </c>
      <c r="C19" s="3">
        <f ca="1">IFERROR(__xludf.DUMMYFUNCTION("""COMPUTED_VALUE"""),1270)</f>
        <v>1270</v>
      </c>
      <c r="D19" s="3"/>
      <c r="E19" s="3"/>
      <c r="F19" s="6"/>
      <c r="G19" s="3"/>
      <c r="H19" s="3"/>
      <c r="I19" s="3"/>
      <c r="J19" s="3"/>
      <c r="K19" s="3"/>
      <c r="L19" s="3"/>
      <c r="M19" s="3"/>
      <c r="N19" s="3">
        <f ca="1">IFERROR(__xludf.DUMMYFUNCTION("""COMPUTED_VALUE"""),98)</f>
        <v>98</v>
      </c>
      <c r="O19" s="3"/>
      <c r="P19" s="3"/>
      <c r="Q19" s="3"/>
      <c r="R19" s="3"/>
      <c r="S19" s="3"/>
      <c r="T19" s="3" t="str">
        <f ca="1">IFERROR(__xludf.DUMMYFUNCTION("""COMPUTED_VALUE"""),"Reagan")</f>
        <v>Reagan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IFERROR(__xludf.DUMMYFUNCTION("""COMPUTED_VALUE"""),45672.6346612037)</f>
        <v>45672.634661203701</v>
      </c>
      <c r="B20" s="3" t="str">
        <f ca="1">IFERROR(__xludf.DUMMYFUNCTION("""COMPUTED_VALUE"""),"mmairet@normanps.org")</f>
        <v>mmairet@normanps.org</v>
      </c>
      <c r="C20" s="3"/>
      <c r="D20" s="3">
        <f ca="1">IFERROR(__xludf.DUMMYFUNCTION("""COMPUTED_VALUE"""),15)</f>
        <v>15</v>
      </c>
      <c r="E20" s="3"/>
      <c r="F20" s="6">
        <f ca="1">IFERROR(__xludf.DUMMYFUNCTION("""COMPUTED_VALUE"""),500)</f>
        <v>500</v>
      </c>
      <c r="G20" s="3">
        <f ca="1">IFERROR(__xludf.DUMMYFUNCTION("""COMPUTED_VALUE"""),20)</f>
        <v>20</v>
      </c>
      <c r="H20" s="3">
        <f ca="1">IFERROR(__xludf.DUMMYFUNCTION("""COMPUTED_VALUE"""),5)</f>
        <v>5</v>
      </c>
      <c r="I20" s="3" t="str">
        <f ca="1">IFERROR(__xludf.DUMMYFUNCTION("""COMPUTED_VALUE"""),"Curate")</f>
        <v>Curate</v>
      </c>
      <c r="J20" s="3" t="str">
        <f ca="1">IFERROR(__xludf.DUMMYFUNCTION("""COMPUTED_VALUE"""),"Science")</f>
        <v>Science</v>
      </c>
      <c r="K20" s="3" t="str">
        <f ca="1">IFERROR(__xludf.DUMMYFUNCTION("""COMPUTED_VALUE"""),"Fifth")</f>
        <v>Fifth</v>
      </c>
      <c r="L20" s="3" t="str">
        <f ca="1">IFERROR(__xludf.DUMMYFUNCTION("""COMPUTED_VALUE"""),"Aubie Coding")</f>
        <v>Aubie Coding</v>
      </c>
      <c r="M20" s="3">
        <f ca="1">IFERROR(__xludf.DUMMYFUNCTION("""COMPUTED_VALUE"""),1)</f>
        <v>1</v>
      </c>
      <c r="N20" s="3"/>
      <c r="O20" s="3"/>
      <c r="P20" s="3"/>
      <c r="Q20" s="3"/>
      <c r="R20" s="3"/>
      <c r="S20" s="3"/>
      <c r="T20" s="3" t="str">
        <f ca="1">IFERROR(__xludf.DUMMYFUNCTION("""COMPUTED_VALUE"""),"Reagan")</f>
        <v>Reagan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IFERROR(__xludf.DUMMYFUNCTION("""COMPUTED_VALUE"""),45693.4831617361)</f>
        <v>45693.483161736098</v>
      </c>
      <c r="B21" s="3" t="str">
        <f ca="1">IFERROR(__xludf.DUMMYFUNCTION("""COMPUTED_VALUE"""),"sschrank@normanps.org")</f>
        <v>sschrank@normanps.org</v>
      </c>
      <c r="C21" s="3">
        <f ca="1">IFERROR(__xludf.DUMMYFUNCTION("""COMPUTED_VALUE"""),1072)</f>
        <v>1072</v>
      </c>
      <c r="D21" s="3"/>
      <c r="E21" s="3"/>
      <c r="F21" s="6"/>
      <c r="G21" s="3"/>
      <c r="H21" s="3"/>
      <c r="I21" s="3"/>
      <c r="J21" s="3"/>
      <c r="K21" s="3"/>
      <c r="L21" s="3"/>
      <c r="M21" s="3"/>
      <c r="N21" s="3">
        <f ca="1">IFERROR(__xludf.DUMMYFUNCTION("""COMPUTED_VALUE"""),188)</f>
        <v>188</v>
      </c>
      <c r="O21" s="3"/>
      <c r="P21" s="3"/>
      <c r="Q21" s="3"/>
      <c r="R21" s="3"/>
      <c r="S21" s="3"/>
      <c r="T21" s="3" t="str">
        <f ca="1">IFERROR(__xludf.DUMMYFUNCTION("""COMPUTED_VALUE"""),"Reagan")</f>
        <v>Reagan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IFERROR(__xludf.DUMMYFUNCTION("""COMPUTED_VALUE"""),45748.2956795601)</f>
        <v>45748.295679560099</v>
      </c>
      <c r="B22" s="3" t="str">
        <f ca="1">IFERROR(__xludf.DUMMYFUNCTION("""COMPUTED_VALUE"""),"mmairet@normanps.org")</f>
        <v>mmairet@normanps.org</v>
      </c>
      <c r="C22" s="3">
        <f ca="1">IFERROR(__xludf.DUMMYFUNCTION("""COMPUTED_VALUE"""),1259)</f>
        <v>1259</v>
      </c>
      <c r="D22" s="3">
        <f ca="1">IFERROR(__xludf.DUMMYFUNCTION("""COMPUTED_VALUE"""),12)</f>
        <v>12</v>
      </c>
      <c r="E22" s="3"/>
      <c r="F22" s="6"/>
      <c r="G22" s="3">
        <f ca="1">IFERROR(__xludf.DUMMYFUNCTION("""COMPUTED_VALUE"""),25)</f>
        <v>25</v>
      </c>
      <c r="H22" s="3">
        <f ca="1">IFERROR(__xludf.DUMMYFUNCTION("""COMPUTED_VALUE"""),5)</f>
        <v>5</v>
      </c>
      <c r="I22" s="3" t="str">
        <f ca="1">IFERROR(__xludf.DUMMYFUNCTION("""COMPUTED_VALUE"""),"Include")</f>
        <v>Include</v>
      </c>
      <c r="J22" s="3" t="str">
        <f ca="1">IFERROR(__xludf.DUMMYFUNCTION("""COMPUTED_VALUE"""),"Art")</f>
        <v>Art</v>
      </c>
      <c r="K22" s="3" t="str">
        <f ca="1">IFERROR(__xludf.DUMMYFUNCTION("""COMPUTED_VALUE"""),"Third")</f>
        <v>Third</v>
      </c>
      <c r="L22" s="3" t="str">
        <f ca="1">IFERROR(__xludf.DUMMYFUNCTION("""COMPUTED_VALUE"""),"photo booth")</f>
        <v>photo booth</v>
      </c>
      <c r="M22" s="3">
        <f ca="1">IFERROR(__xludf.DUMMYFUNCTION("""COMPUTED_VALUE"""),128)</f>
        <v>128</v>
      </c>
      <c r="N22" s="3"/>
      <c r="O22" s="3"/>
      <c r="P22" s="3" t="str">
        <f ca="1">IFERROR(__xludf.DUMMYFUNCTION("""COMPUTED_VALUE"""),"Rotary")</f>
        <v>Rotary</v>
      </c>
      <c r="Q22" s="3" t="str">
        <f ca="1">IFERROR(__xludf.DUMMYFUNCTION("""COMPUTED_VALUE"""),"OLA")</f>
        <v>OLA</v>
      </c>
      <c r="R22" s="3" t="str">
        <f ca="1">IFERROR(__xludf.DUMMYFUNCTION("""COMPUTED_VALUE"""),"Conferences")</f>
        <v>Conferences</v>
      </c>
      <c r="S22" s="3">
        <f ca="1">IFERROR(__xludf.DUMMYFUNCTION("""COMPUTED_VALUE"""),1)</f>
        <v>1</v>
      </c>
      <c r="T22" s="3" t="str">
        <f ca="1">IFERROR(__xludf.DUMMYFUNCTION("""COMPUTED_VALUE"""),"Reagan")</f>
        <v>Reagan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IFERROR(__xludf.DUMMYFUNCTION("""COMPUTED_VALUE"""),45532.5974305555)</f>
        <v>45532.597430555499</v>
      </c>
      <c r="B23" s="3" t="str">
        <f ca="1">IFERROR(__xludf.DUMMYFUNCTION("""COMPUTED_VALUE"""),"akordelis2@normanps.org")</f>
        <v>akordelis2@normanps.org</v>
      </c>
      <c r="C23" s="3">
        <f ca="1">IFERROR(__xludf.DUMMYFUNCTION("""COMPUTED_VALUE"""),1)</f>
        <v>1</v>
      </c>
      <c r="D23" s="3">
        <f ca="1">IFERROR(__xludf.DUMMYFUNCTION("""COMPUTED_VALUE"""),1)</f>
        <v>1</v>
      </c>
      <c r="E23" s="3">
        <f ca="1">IFERROR(__xludf.DUMMYFUNCTION("""COMPUTED_VALUE"""),1)</f>
        <v>1</v>
      </c>
      <c r="F23" s="6">
        <f ca="1">IFERROR(__xludf.DUMMYFUNCTION("""COMPUTED_VALUE"""),1)</f>
        <v>1</v>
      </c>
      <c r="G23" s="3">
        <f ca="1">IFERROR(__xludf.DUMMYFUNCTION("""COMPUTED_VALUE"""),1)</f>
        <v>1</v>
      </c>
      <c r="H23" s="3">
        <f ca="1">IFERROR(__xludf.DUMMYFUNCTION("""COMPUTED_VALUE"""),1)</f>
        <v>1</v>
      </c>
      <c r="I23" s="3" t="str">
        <f ca="1">IFERROR(__xludf.DUMMYFUNCTION("""COMPUTED_VALUE"""),"Inquire")</f>
        <v>Inquire</v>
      </c>
      <c r="J23" s="3" t="str">
        <f ca="1">IFERROR(__xludf.DUMMYFUNCTION("""COMPUTED_VALUE"""),"ELA")</f>
        <v>ELA</v>
      </c>
      <c r="K23" s="3" t="str">
        <f ca="1">IFERROR(__xludf.DUMMYFUNCTION("""COMPUTED_VALUE"""),"Prek")</f>
        <v>Prek</v>
      </c>
      <c r="L23" s="3" t="str">
        <f ca="1">IFERROR(__xludf.DUMMYFUNCTION("""COMPUTED_VALUE"""),"Air Dry Clay")</f>
        <v>Air Dry Clay</v>
      </c>
      <c r="M23" s="3">
        <f ca="1">IFERROR(__xludf.DUMMYFUNCTION("""COMPUTED_VALUE"""),1)</f>
        <v>1</v>
      </c>
      <c r="N23" s="3">
        <f ca="1">IFERROR(__xludf.DUMMYFUNCTION("""COMPUTED_VALUE"""),1)</f>
        <v>1</v>
      </c>
      <c r="O23" s="3">
        <f ca="1">IFERROR(__xludf.DUMMYFUNCTION("""COMPUTED_VALUE"""),1)</f>
        <v>1</v>
      </c>
      <c r="P23" s="3" t="str">
        <f ca="1">IFERROR(__xludf.DUMMYFUNCTION("""COMPUTED_VALUE"""),"Pioneer")</f>
        <v>Pioneer</v>
      </c>
      <c r="Q23" s="3" t="str">
        <f ca="1">IFERROR(__xludf.DUMMYFUNCTION("""COMPUTED_VALUE"""),"OLA")</f>
        <v>OLA</v>
      </c>
      <c r="R23" s="3" t="str">
        <f ca="1">IFERROR(__xludf.DUMMYFUNCTION("""COMPUTED_VALUE"""),"Literacy Night")</f>
        <v>Literacy Night</v>
      </c>
      <c r="S23" s="3">
        <f ca="1">IFERROR(__xludf.DUMMYFUNCTION("""COMPUTED_VALUE"""),1)</f>
        <v>1</v>
      </c>
      <c r="T23" s="3" t="str">
        <f ca="1">IFERROR(__xludf.DUMMYFUNCTION("""COMPUTED_VALUE"""),"Reagan")</f>
        <v>Reagan</v>
      </c>
      <c r="U23" s="3"/>
      <c r="V23" s="3"/>
      <c r="W23" s="3"/>
      <c r="X23" s="3"/>
      <c r="Y23" s="3"/>
      <c r="Z23" s="3"/>
      <c r="AA23" s="3"/>
      <c r="AB23" s="3"/>
      <c r="AC2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J41"/>
  <sheetViews>
    <sheetView workbookViewId="0"/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'Roosevelt'"",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IFERROR(__xludf.DUMMYFUNCTION("""COMPUTED_VALUE"""),45538.4194474189)</f>
        <v>45538.419447418899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IFERROR(__xludf.DUMMYFUNCTION("""COMPUTED_VALUE"""),1366)</f>
        <v>1366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IFERROR(__xludf.DUMMYFUNCTION("""COMPUTED_VALUE"""),49)</f>
        <v>49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IFERROR(__xludf.DUMMYFUNCTION("""COMPUTED_VALUE"""),"Roosevelt")</f>
        <v>Roosevelt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IFERROR(__xludf.DUMMYFUNCTION("""COMPUTED_VALUE"""),45559.418145706)</f>
        <v>45559.418145705997</v>
      </c>
      <c r="B3" s="3" t="str">
        <f ca="1">IFERROR(__xludf.DUMMYFUNCTION("""COMPUTED_VALUE"""),"rpenner@normanps.org")</f>
        <v>rpenner@normanps.org</v>
      </c>
      <c r="C3" s="3"/>
      <c r="D3" s="3"/>
      <c r="E3" s="3"/>
      <c r="F3" s="6">
        <f ca="1">IFERROR(__xludf.DUMMYFUNCTION("""COMPUTED_VALUE"""),1054.81)</f>
        <v>1054.81</v>
      </c>
      <c r="G3" s="3"/>
      <c r="H3" s="3">
        <f ca="1">IFERROR(__xludf.DUMMYFUNCTION("""COMPUTED_VALUE"""),27)</f>
        <v>27</v>
      </c>
      <c r="I3" s="3"/>
      <c r="J3" s="3"/>
      <c r="K3" s="3"/>
      <c r="L3" s="3" t="str">
        <f ca="1">IFERROR(__xludf.DUMMYFUNCTION("""COMPUTED_VALUE"""),"Pony Beads")</f>
        <v>Pony Beads</v>
      </c>
      <c r="M3" s="3"/>
      <c r="N3" s="3"/>
      <c r="O3" s="3"/>
      <c r="P3" s="3"/>
      <c r="Q3" s="3"/>
      <c r="R3" s="3"/>
      <c r="S3" s="3">
        <f ca="1">IFERROR(__xludf.DUMMYFUNCTION("""COMPUTED_VALUE"""),1)</f>
        <v>1</v>
      </c>
      <c r="T3" s="3" t="str">
        <f ca="1">IFERROR(__xludf.DUMMYFUNCTION("""COMPUTED_VALUE"""),"Roosevelt")</f>
        <v>Roosevelt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IFERROR(__xludf.DUMMYFUNCTION("""COMPUTED_VALUE"""),45573.4182095833)</f>
        <v>45573.418209583302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IFERROR(__xludf.DUMMYFUNCTION("""COMPUTED_VALUE"""),2737)</f>
        <v>2737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IFERROR(__xludf.DUMMYFUNCTION("""COMPUTED_VALUE"""),371)</f>
        <v>371</v>
      </c>
      <c r="O4" s="3"/>
      <c r="P4" s="3"/>
      <c r="Q4" s="3"/>
      <c r="R4" s="3"/>
      <c r="S4" s="3"/>
      <c r="T4" s="3" t="str">
        <f ca="1">IFERROR(__xludf.DUMMYFUNCTION("""COMPUTED_VALUE"""),"Roosevelt")</f>
        <v>Roosevelt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IFERROR(__xludf.DUMMYFUNCTION("""COMPUTED_VALUE"""),45593.8799409375)</f>
        <v>45593.879940937499</v>
      </c>
      <c r="B5" s="3" t="str">
        <f ca="1">IFERROR(__xludf.DUMMYFUNCTION("""COMPUTED_VALUE"""),"rpenner@normanps.org")</f>
        <v>rpenner@normanps.org</v>
      </c>
      <c r="C5" s="3"/>
      <c r="D5" s="3"/>
      <c r="E5" s="3"/>
      <c r="F5" s="6">
        <f ca="1">IFERROR(__xludf.DUMMYFUNCTION("""COMPUTED_VALUE"""),-1055.81)</f>
        <v>-1055.81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tr">
        <f ca="1">IFERROR(__xludf.DUMMYFUNCTION("""COMPUTED_VALUE"""),"Roosevelt")</f>
        <v>Roosevelt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IFERROR(__xludf.DUMMYFUNCTION("""COMPUTED_VALUE"""),45593.8937858796)</f>
        <v>45593.893785879598</v>
      </c>
      <c r="B6" s="3" t="str">
        <f ca="1">IFERROR(__xludf.DUMMYFUNCTION("""COMPUTED_VALUE"""),"rpenner@normanps.org")</f>
        <v>rpenner@normanps.org</v>
      </c>
      <c r="C6" s="3"/>
      <c r="D6" s="3"/>
      <c r="E6" s="3"/>
      <c r="F6" s="6"/>
      <c r="G6" s="3">
        <f ca="1">IFERROR(__xludf.DUMMYFUNCTION("""COMPUTED_VALUE"""),5)</f>
        <v>5</v>
      </c>
      <c r="H6" s="3">
        <f ca="1">IFERROR(__xludf.DUMMYFUNCTION("""COMPUTED_VALUE"""),5)</f>
        <v>5</v>
      </c>
      <c r="I6" s="3" t="str">
        <f ca="1">IFERROR(__xludf.DUMMYFUNCTION("""COMPUTED_VALUE"""),"Inquire")</f>
        <v>Inquire</v>
      </c>
      <c r="J6" s="3" t="str">
        <f ca="1">IFERROR(__xludf.DUMMYFUNCTION("""COMPUTED_VALUE"""),"Science")</f>
        <v>Science</v>
      </c>
      <c r="K6" s="3" t="str">
        <f ca="1">IFERROR(__xludf.DUMMYFUNCTION("""COMPUTED_VALUE"""),"Second")</f>
        <v>Second</v>
      </c>
      <c r="L6" s="3"/>
      <c r="M6" s="3"/>
      <c r="N6" s="3"/>
      <c r="O6" s="3"/>
      <c r="P6" s="3" t="str">
        <f ca="1">IFERROR(__xludf.DUMMYFUNCTION("""COMPUTED_VALUE""")," Alabaster State Park")</f>
        <v xml:space="preserve"> Alabaster State Park</v>
      </c>
      <c r="Q6" s="3"/>
      <c r="R6" s="3" t="str">
        <f ca="1">IFERROR(__xludf.DUMMYFUNCTION("""COMPUTED_VALUE"""),"Virtual Author Visit")</f>
        <v>Virtual Author Visit</v>
      </c>
      <c r="S6" s="3"/>
      <c r="T6" s="3" t="str">
        <f ca="1">IFERROR(__xludf.DUMMYFUNCTION("""COMPUTED_VALUE"""),"Roosevelt")</f>
        <v>Roosevelt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IFERROR(__xludf.DUMMYFUNCTION("""COMPUTED_VALUE"""),45593.8949786226)</f>
        <v>45593.8949786226</v>
      </c>
      <c r="B7" s="3" t="str">
        <f ca="1">IFERROR(__xludf.DUMMYFUNCTION("""COMPUTED_VALUE"""),"rpenner@normanps.org")</f>
        <v>rpenner@normanps.org</v>
      </c>
      <c r="C7" s="3"/>
      <c r="D7" s="3"/>
      <c r="E7" s="3"/>
      <c r="F7" s="6"/>
      <c r="G7" s="3"/>
      <c r="H7" s="3"/>
      <c r="I7" s="3" t="str">
        <f ca="1">IFERROR(__xludf.DUMMYFUNCTION("""COMPUTED_VALUE"""),"Inquire")</f>
        <v>Inquire</v>
      </c>
      <c r="J7" s="3" t="str">
        <f ca="1">IFERROR(__xludf.DUMMYFUNCTION("""COMPUTED_VALUE"""),"Science")</f>
        <v>Science</v>
      </c>
      <c r="K7" s="3" t="str">
        <f ca="1">IFERROR(__xludf.DUMMYFUNCTION("""COMPUTED_VALUE"""),"Fifth")</f>
        <v>Fifth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IFERROR(__xludf.DUMMYFUNCTION("""COMPUTED_VALUE"""),"Roosevelt")</f>
        <v>Roosevelt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IFERROR(__xludf.DUMMYFUNCTION("""COMPUTED_VALUE"""),45593.8956911574)</f>
        <v>45593.895691157399</v>
      </c>
      <c r="B8" s="3" t="str">
        <f ca="1">IFERROR(__xludf.DUMMYFUNCTION("""COMPUTED_VALUE"""),"rpenner@normanps.org")</f>
        <v>rpenner@normanps.org</v>
      </c>
      <c r="C8" s="3"/>
      <c r="D8" s="3"/>
      <c r="E8" s="3"/>
      <c r="F8" s="6"/>
      <c r="G8" s="3"/>
      <c r="H8" s="3"/>
      <c r="I8" s="3" t="str">
        <f ca="1">IFERROR(__xludf.DUMMYFUNCTION("""COMPUTED_VALUE"""),"Curate")</f>
        <v>Curate</v>
      </c>
      <c r="J8" s="3" t="str">
        <f ca="1">IFERROR(__xludf.DUMMYFUNCTION("""COMPUTED_VALUE"""),"Science")</f>
        <v>Science</v>
      </c>
      <c r="K8" s="3" t="str">
        <f ca="1">IFERROR(__xludf.DUMMYFUNCTION("""COMPUTED_VALUE"""),"Third")</f>
        <v>Third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IFERROR(__xludf.DUMMYFUNCTION("""COMPUTED_VALUE"""),"Roosevelt")</f>
        <v>Roosevelt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IFERROR(__xludf.DUMMYFUNCTION("""COMPUTED_VALUE"""),45593.8960009375)</f>
        <v>45593.896000937501</v>
      </c>
      <c r="B9" s="3" t="str">
        <f ca="1">IFERROR(__xludf.DUMMYFUNCTION("""COMPUTED_VALUE"""),"rpenner@normanps.org")</f>
        <v>rpenner@normanps.org</v>
      </c>
      <c r="C9" s="3"/>
      <c r="D9" s="3"/>
      <c r="E9" s="3"/>
      <c r="F9" s="6"/>
      <c r="G9" s="3"/>
      <c r="H9" s="3"/>
      <c r="I9" s="3" t="str">
        <f ca="1">IFERROR(__xludf.DUMMYFUNCTION("""COMPUTED_VALUE"""),"Inquire")</f>
        <v>Inquire</v>
      </c>
      <c r="J9" s="3" t="str">
        <f ca="1">IFERROR(__xludf.DUMMYFUNCTION("""COMPUTED_VALUE"""),"Science")</f>
        <v>Science</v>
      </c>
      <c r="K9" s="3" t="str">
        <f ca="1">IFERROR(__xludf.DUMMYFUNCTION("""COMPUTED_VALUE"""),"Third")</f>
        <v>Third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IFERROR(__xludf.DUMMYFUNCTION("""COMPUTED_VALUE"""),"Roosevelt")</f>
        <v>Roosevelt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IFERROR(__xludf.DUMMYFUNCTION("""COMPUTED_VALUE"""),45593.8971517013)</f>
        <v>45593.897151701298</v>
      </c>
      <c r="B10" s="3" t="str">
        <f ca="1">IFERROR(__xludf.DUMMYFUNCTION("""COMPUTED_VALUE"""),"rpenner@normanps.org")</f>
        <v>rpenner@normanps.org</v>
      </c>
      <c r="C10" s="3"/>
      <c r="D10" s="3"/>
      <c r="E10" s="3"/>
      <c r="F10" s="6"/>
      <c r="G10" s="3"/>
      <c r="H10" s="3"/>
      <c r="I10" s="3" t="str">
        <f ca="1">IFERROR(__xludf.DUMMYFUNCTION("""COMPUTED_VALUE"""),"Collaborate")</f>
        <v>Collaborate</v>
      </c>
      <c r="J10" s="3" t="str">
        <f ca="1">IFERROR(__xludf.DUMMYFUNCTION("""COMPUTED_VALUE"""),"ELA")</f>
        <v>ELA</v>
      </c>
      <c r="K10" s="3" t="str">
        <f ca="1">IFERROR(__xludf.DUMMYFUNCTION("""COMPUTED_VALUE"""),"Fourth")</f>
        <v>Fourth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IFERROR(__xludf.DUMMYFUNCTION("""COMPUTED_VALUE"""),"Roosevelt")</f>
        <v>Roosevelt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IFERROR(__xludf.DUMMYFUNCTION("""COMPUTED_VALUE"""),45593.8980578703)</f>
        <v>45593.898057870298</v>
      </c>
      <c r="B11" s="3" t="str">
        <f ca="1">IFERROR(__xludf.DUMMYFUNCTION("""COMPUTED_VALUE"""),"rpenner@normanps.org")</f>
        <v>rpenner@normanps.org</v>
      </c>
      <c r="C11" s="3"/>
      <c r="D11" s="3"/>
      <c r="E11" s="3"/>
      <c r="F11" s="6"/>
      <c r="G11" s="3"/>
      <c r="H11" s="3"/>
      <c r="I11" s="3" t="str">
        <f ca="1">IFERROR(__xludf.DUMMYFUNCTION("""COMPUTED_VALUE"""),"Explore")</f>
        <v>Explore</v>
      </c>
      <c r="J11" s="3" t="str">
        <f ca="1">IFERROR(__xludf.DUMMYFUNCTION("""COMPUTED_VALUE"""),"Science")</f>
        <v>Science</v>
      </c>
      <c r="K11" s="3" t="str">
        <f ca="1">IFERROR(__xludf.DUMMYFUNCTION("""COMPUTED_VALUE"""),"Second")</f>
        <v>Second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IFERROR(__xludf.DUMMYFUNCTION("""COMPUTED_VALUE"""),"Roosevelt")</f>
        <v>Roosevelt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IFERROR(__xludf.DUMMYFUNCTION("""COMPUTED_VALUE"""),45593.8983302546)</f>
        <v>45593.898330254597</v>
      </c>
      <c r="B12" s="3" t="str">
        <f ca="1">IFERROR(__xludf.DUMMYFUNCTION("""COMPUTED_VALUE"""),"rpenner@normanps.org")</f>
        <v>rpenner@normanps.org</v>
      </c>
      <c r="C12" s="3"/>
      <c r="D12" s="3"/>
      <c r="E12" s="3"/>
      <c r="F12" s="6"/>
      <c r="G12" s="3"/>
      <c r="H12" s="3"/>
      <c r="I12" s="3" t="str">
        <f ca="1">IFERROR(__xludf.DUMMYFUNCTION("""COMPUTED_VALUE"""),"Explore")</f>
        <v>Explore</v>
      </c>
      <c r="J12" s="3" t="str">
        <f ca="1">IFERROR(__xludf.DUMMYFUNCTION("""COMPUTED_VALUE"""),"Science")</f>
        <v>Science</v>
      </c>
      <c r="K12" s="3" t="str">
        <f ca="1">IFERROR(__xludf.DUMMYFUNCTION("""COMPUTED_VALUE"""),"Kindergarten")</f>
        <v>Kindergarten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IFERROR(__xludf.DUMMYFUNCTION("""COMPUTED_VALUE"""),"Roosevelt")</f>
        <v>Roosevelt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IFERROR(__xludf.DUMMYFUNCTION("""COMPUTED_VALUE"""),45593.8986458796)</f>
        <v>45593.898645879599</v>
      </c>
      <c r="B13" s="3" t="str">
        <f ca="1">IFERROR(__xludf.DUMMYFUNCTION("""COMPUTED_VALUE"""),"rpenner@normanps.org")</f>
        <v>rpenner@normanps.org</v>
      </c>
      <c r="C13" s="3"/>
      <c r="D13" s="3"/>
      <c r="E13" s="3"/>
      <c r="F13" s="6"/>
      <c r="G13" s="3"/>
      <c r="H13" s="3"/>
      <c r="I13" s="3" t="str">
        <f ca="1">IFERROR(__xludf.DUMMYFUNCTION("""COMPUTED_VALUE"""),"Explore")</f>
        <v>Explore</v>
      </c>
      <c r="J13" s="3" t="str">
        <f ca="1">IFERROR(__xludf.DUMMYFUNCTION("""COMPUTED_VALUE"""),"Science")</f>
        <v>Science</v>
      </c>
      <c r="K13" s="3" t="str">
        <f ca="1">IFERROR(__xludf.DUMMYFUNCTION("""COMPUTED_VALUE"""),"Prek")</f>
        <v>Prek</v>
      </c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IFERROR(__xludf.DUMMYFUNCTION("""COMPUTED_VALUE"""),"Roosevelt")</f>
        <v>Roosevelt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IFERROR(__xludf.DUMMYFUNCTION("""COMPUTED_VALUE"""),45593.9028881481)</f>
        <v>45593.902888148099</v>
      </c>
      <c r="B14" s="3" t="str">
        <f ca="1">IFERROR(__xludf.DUMMYFUNCTION("""COMPUTED_VALUE"""),"rpenner@normanps.org")</f>
        <v>rpenner@normanps.org</v>
      </c>
      <c r="C14" s="3"/>
      <c r="D14" s="3"/>
      <c r="E14" s="3"/>
      <c r="F14" s="6">
        <f ca="1">IFERROR(__xludf.DUMMYFUNCTION("""COMPUTED_VALUE"""),1054)</f>
        <v>1054</v>
      </c>
      <c r="G14" s="3"/>
      <c r="H14" s="3"/>
      <c r="I14" s="3" t="str">
        <f ca="1">IFERROR(__xludf.DUMMYFUNCTION("""COMPUTED_VALUE"""),"Explore")</f>
        <v>Explore</v>
      </c>
      <c r="J14" s="3" t="str">
        <f ca="1">IFERROR(__xludf.DUMMYFUNCTION("""COMPUTED_VALUE"""),"Art")</f>
        <v>Art</v>
      </c>
      <c r="K14" s="3" t="str">
        <f ca="1">IFERROR(__xludf.DUMMYFUNCTION("""COMPUTED_VALUE"""),"Prek")</f>
        <v>Prek</v>
      </c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IFERROR(__xludf.DUMMYFUNCTION("""COMPUTED_VALUE"""),"Roosevelt")</f>
        <v>Roosevelt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IFERROR(__xludf.DUMMYFUNCTION("""COMPUTED_VALUE"""),45593.9031270138)</f>
        <v>45593.9031270138</v>
      </c>
      <c r="B15" s="3" t="str">
        <f ca="1">IFERROR(__xludf.DUMMYFUNCTION("""COMPUTED_VALUE"""),"rpenner@normanps.org")</f>
        <v>rpenner@normanps.org</v>
      </c>
      <c r="C15" s="3"/>
      <c r="D15" s="3"/>
      <c r="E15" s="3"/>
      <c r="F15" s="6"/>
      <c r="G15" s="3"/>
      <c r="H15" s="3"/>
      <c r="I15" s="3" t="str">
        <f ca="1">IFERROR(__xludf.DUMMYFUNCTION("""COMPUTED_VALUE"""),"Explore")</f>
        <v>Explore</v>
      </c>
      <c r="J15" s="3" t="str">
        <f ca="1">IFERROR(__xludf.DUMMYFUNCTION("""COMPUTED_VALUE"""),"Art")</f>
        <v>Art</v>
      </c>
      <c r="K15" s="3" t="str">
        <f ca="1">IFERROR(__xludf.DUMMYFUNCTION("""COMPUTED_VALUE"""),"Kindergarten")</f>
        <v>Kindergarten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IFERROR(__xludf.DUMMYFUNCTION("""COMPUTED_VALUE"""),"Roosevelt")</f>
        <v>Roosevelt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IFERROR(__xludf.DUMMYFUNCTION("""COMPUTED_VALUE"""),45593.9198742824)</f>
        <v>45593.919874282401</v>
      </c>
      <c r="B16" s="3" t="str">
        <f ca="1">IFERROR(__xludf.DUMMYFUNCTION("""COMPUTED_VALUE"""),"rpenner@normanps.org")</f>
        <v>rpenner@normanps.org</v>
      </c>
      <c r="C16" s="3"/>
      <c r="D16" s="3">
        <f ca="1">IFERROR(__xludf.DUMMYFUNCTION("""COMPUTED_VALUE"""),35)</f>
        <v>35</v>
      </c>
      <c r="E16" s="3"/>
      <c r="F16" s="6"/>
      <c r="G16" s="3"/>
      <c r="H16" s="3"/>
      <c r="I16" s="3"/>
      <c r="J16" s="3"/>
      <c r="K16" s="3"/>
      <c r="L16" s="3"/>
      <c r="M16" s="3">
        <f ca="1">IFERROR(__xludf.DUMMYFUNCTION("""COMPUTED_VALUE"""),210)</f>
        <v>210</v>
      </c>
      <c r="N16" s="3"/>
      <c r="O16" s="3"/>
      <c r="P16" s="3"/>
      <c r="Q16" s="3"/>
      <c r="R16" s="3" t="str">
        <f ca="1">IFERROR(__xludf.DUMMYFUNCTION("""COMPUTED_VALUE"""),"Bat Grotto")</f>
        <v>Bat Grotto</v>
      </c>
      <c r="S16" s="3"/>
      <c r="T16" s="3" t="str">
        <f ca="1">IFERROR(__xludf.DUMMYFUNCTION("""COMPUTED_VALUE"""),"Roosevelt")</f>
        <v>Roosevelt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IFERROR(__xludf.DUMMYFUNCTION("""COMPUTED_VALUE"""),45639.7185801851)</f>
        <v>45639.718580185101</v>
      </c>
      <c r="B17" s="3" t="str">
        <f ca="1">IFERROR(__xludf.DUMMYFUNCTION("""COMPUTED_VALUE"""),"rpenner@normanps.org")</f>
        <v>rpenner@normanps.org</v>
      </c>
      <c r="C17" s="3"/>
      <c r="D17" s="3">
        <f ca="1">IFERROR(__xludf.DUMMYFUNCTION("""COMPUTED_VALUE"""),121)</f>
        <v>121</v>
      </c>
      <c r="E17" s="3"/>
      <c r="F17" s="6">
        <f ca="1">IFERROR(__xludf.DUMMYFUNCTION("""COMPUTED_VALUE"""),1104)</f>
        <v>1104</v>
      </c>
      <c r="G17" s="3">
        <f ca="1">IFERROR(__xludf.DUMMYFUNCTION("""COMPUTED_VALUE"""),35)</f>
        <v>35</v>
      </c>
      <c r="H17" s="3">
        <f ca="1">IFERROR(__xludf.DUMMYFUNCTION("""COMPUTED_VALUE"""),12)</f>
        <v>12</v>
      </c>
      <c r="I17" s="3"/>
      <c r="J17" s="3"/>
      <c r="K17" s="3"/>
      <c r="L17" s="3" t="str">
        <f ca="1">IFERROR(__xludf.DUMMYFUNCTION("""COMPUTED_VALUE"""),"Shrinky Dinks")</f>
        <v>Shrinky Dinks</v>
      </c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IFERROR(__xludf.DUMMYFUNCTION("""COMPUTED_VALUE"""),"Roosevelt")</f>
        <v>Roosevelt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IFERROR(__xludf.DUMMYFUNCTION("""COMPUTED_VALUE"""),45639.7210840046)</f>
        <v>45639.721084004603</v>
      </c>
      <c r="B18" s="3" t="str">
        <f ca="1">IFERROR(__xludf.DUMMYFUNCTION("""COMPUTED_VALUE"""),"rpenner@normanps.org")</f>
        <v>rpenner@normanps.org</v>
      </c>
      <c r="C18" s="3"/>
      <c r="D18" s="3"/>
      <c r="E18" s="3"/>
      <c r="F18" s="6"/>
      <c r="G18" s="3"/>
      <c r="H18" s="3"/>
      <c r="I18" s="3" t="str">
        <f ca="1">IFERROR(__xludf.DUMMYFUNCTION("""COMPUTED_VALUE"""),"Explore")</f>
        <v>Explore</v>
      </c>
      <c r="J18" s="3" t="str">
        <f ca="1">IFERROR(__xludf.DUMMYFUNCTION("""COMPUTED_VALUE"""),"Science")</f>
        <v>Science</v>
      </c>
      <c r="K18" s="3" t="str">
        <f ca="1">IFERROR(__xludf.DUMMYFUNCTION("""COMPUTED_VALUE"""),"Third")</f>
        <v>Third</v>
      </c>
      <c r="L18" s="3" t="str">
        <f ca="1">IFERROR(__xludf.DUMMYFUNCTION("""COMPUTED_VALUE"""),"Artistic Markers")</f>
        <v>Artistic Markers</v>
      </c>
      <c r="M18" s="3"/>
      <c r="N18" s="3"/>
      <c r="O18" s="3"/>
      <c r="P18" s="3"/>
      <c r="Q18" s="3"/>
      <c r="R18" s="3" t="str">
        <f ca="1">IFERROR(__xludf.DUMMYFUNCTION("""COMPUTED_VALUE"""),"Fall BookFair")</f>
        <v>Fall BookFair</v>
      </c>
      <c r="S18" s="3"/>
      <c r="T18" s="3" t="str">
        <f ca="1">IFERROR(__xludf.DUMMYFUNCTION("""COMPUTED_VALUE"""),"Roosevelt")</f>
        <v>Roosevelt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IFERROR(__xludf.DUMMYFUNCTION("""COMPUTED_VALUE"""),45639.7214882638)</f>
        <v>45639.7214882638</v>
      </c>
      <c r="B19" s="3" t="str">
        <f ca="1">IFERROR(__xludf.DUMMYFUNCTION("""COMPUTED_VALUE"""),"rpenner@normanps.org")</f>
        <v>rpenner@normanps.org</v>
      </c>
      <c r="C19" s="3"/>
      <c r="D19" s="3"/>
      <c r="E19" s="3"/>
      <c r="F19" s="6"/>
      <c r="G19" s="3"/>
      <c r="H19" s="3"/>
      <c r="I19" s="3" t="str">
        <f ca="1">IFERROR(__xludf.DUMMYFUNCTION("""COMPUTED_VALUE"""),"Engage")</f>
        <v>Engage</v>
      </c>
      <c r="J19" s="3" t="str">
        <f ca="1">IFERROR(__xludf.DUMMYFUNCTION("""COMPUTED_VALUE"""),"Science")</f>
        <v>Science</v>
      </c>
      <c r="K19" s="3" t="str">
        <f ca="1">IFERROR(__xludf.DUMMYFUNCTION("""COMPUTED_VALUE"""),"Fifth")</f>
        <v>Fifth</v>
      </c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IFERROR(__xludf.DUMMYFUNCTION("""COMPUTED_VALUE"""),"Roosevelt")</f>
        <v>Roosevelt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IFERROR(__xludf.DUMMYFUNCTION("""COMPUTED_VALUE"""),45639.7219583912)</f>
        <v>45639.721958391201</v>
      </c>
      <c r="B20" s="3" t="str">
        <f ca="1">IFERROR(__xludf.DUMMYFUNCTION("""COMPUTED_VALUE"""),"rpenner@normanps.org")</f>
        <v>rpenner@normanps.org</v>
      </c>
      <c r="C20" s="3"/>
      <c r="D20" s="3"/>
      <c r="E20" s="3"/>
      <c r="F20" s="6"/>
      <c r="G20" s="3"/>
      <c r="H20" s="3"/>
      <c r="I20" s="3" t="str">
        <f ca="1">IFERROR(__xludf.DUMMYFUNCTION("""COMPUTED_VALUE"""),"Explore")</f>
        <v>Explore</v>
      </c>
      <c r="J20" s="3" t="str">
        <f ca="1">IFERROR(__xludf.DUMMYFUNCTION("""COMPUTED_VALUE"""),"Science")</f>
        <v>Science</v>
      </c>
      <c r="K20" s="3" t="str">
        <f ca="1">IFERROR(__xludf.DUMMYFUNCTION("""COMPUTED_VALUE"""),"Fifth")</f>
        <v>Fifth</v>
      </c>
      <c r="L20" s="3"/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IFERROR(__xludf.DUMMYFUNCTION("""COMPUTED_VALUE"""),"Roosevelt")</f>
        <v>Roosevelt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IFERROR(__xludf.DUMMYFUNCTION("""COMPUTED_VALUE"""),45639.7222131134)</f>
        <v>45639.722213113397</v>
      </c>
      <c r="B21" s="3" t="str">
        <f ca="1">IFERROR(__xludf.DUMMYFUNCTION("""COMPUTED_VALUE"""),"rpenner@normanps.org")</f>
        <v>rpenner@normanps.org</v>
      </c>
      <c r="C21" s="3"/>
      <c r="D21" s="3"/>
      <c r="E21" s="3"/>
      <c r="F21" s="6"/>
      <c r="G21" s="3"/>
      <c r="H21" s="3"/>
      <c r="I21" s="3" t="str">
        <f ca="1">IFERROR(__xludf.DUMMYFUNCTION("""COMPUTED_VALUE"""),"Inquire")</f>
        <v>Inquire</v>
      </c>
      <c r="J21" s="3" t="str">
        <f ca="1">IFERROR(__xludf.DUMMYFUNCTION("""COMPUTED_VALUE"""),"Science")</f>
        <v>Science</v>
      </c>
      <c r="K21" s="3" t="str">
        <f ca="1">IFERROR(__xludf.DUMMYFUNCTION("""COMPUTED_VALUE"""),"Fifth")</f>
        <v>Fifth</v>
      </c>
      <c r="L21" s="3"/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IFERROR(__xludf.DUMMYFUNCTION("""COMPUTED_VALUE"""),"Roosevelt")</f>
        <v>Roosevelt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IFERROR(__xludf.DUMMYFUNCTION("""COMPUTED_VALUE"""),45639.7225791088)</f>
        <v>45639.722579108799</v>
      </c>
      <c r="B22" s="3" t="str">
        <f ca="1">IFERROR(__xludf.DUMMYFUNCTION("""COMPUTED_VALUE"""),"rpenner@normanps.org")</f>
        <v>rpenner@normanps.org</v>
      </c>
      <c r="C22" s="3"/>
      <c r="D22" s="3"/>
      <c r="E22" s="3"/>
      <c r="F22" s="6"/>
      <c r="G22" s="3"/>
      <c r="H22" s="3"/>
      <c r="I22" s="3" t="str">
        <f ca="1">IFERROR(__xludf.DUMMYFUNCTION("""COMPUTED_VALUE"""),"Curate")</f>
        <v>Curate</v>
      </c>
      <c r="J22" s="3" t="str">
        <f ca="1">IFERROR(__xludf.DUMMYFUNCTION("""COMPUTED_VALUE"""),"ELA")</f>
        <v>ELA</v>
      </c>
      <c r="K22" s="3" t="str">
        <f ca="1">IFERROR(__xludf.DUMMYFUNCTION("""COMPUTED_VALUE"""),"Fourth")</f>
        <v>Fourth</v>
      </c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IFERROR(__xludf.DUMMYFUNCTION("""COMPUTED_VALUE"""),"Roosevelt")</f>
        <v>Roosevelt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IFERROR(__xludf.DUMMYFUNCTION("""COMPUTED_VALUE"""),45639.7229200925)</f>
        <v>45639.722920092499</v>
      </c>
      <c r="B23" s="3" t="str">
        <f ca="1">IFERROR(__xludf.DUMMYFUNCTION("""COMPUTED_VALUE"""),"rpenner@normanps.org")</f>
        <v>rpenner@normanps.org</v>
      </c>
      <c r="C23" s="3"/>
      <c r="D23" s="3"/>
      <c r="E23" s="3"/>
      <c r="F23" s="6"/>
      <c r="G23" s="3"/>
      <c r="H23" s="3"/>
      <c r="I23" s="3" t="str">
        <f ca="1">IFERROR(__xludf.DUMMYFUNCTION("""COMPUTED_VALUE"""),"Explore")</f>
        <v>Explore</v>
      </c>
      <c r="J23" s="3" t="str">
        <f ca="1">IFERROR(__xludf.DUMMYFUNCTION("""COMPUTED_VALUE"""),"ELA")</f>
        <v>ELA</v>
      </c>
      <c r="K23" s="3" t="str">
        <f ca="1">IFERROR(__xludf.DUMMYFUNCTION("""COMPUTED_VALUE"""),"First")</f>
        <v>First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IFERROR(__xludf.DUMMYFUNCTION("""COMPUTED_VALUE"""),"Roosevelt")</f>
        <v>Roosevelt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IFERROR(__xludf.DUMMYFUNCTION("""COMPUTED_VALUE"""),45639.7238372453)</f>
        <v>45639.723837245299</v>
      </c>
      <c r="B24" s="3" t="str">
        <f ca="1">IFERROR(__xludf.DUMMYFUNCTION("""COMPUTED_VALUE"""),"rpenner@normanps.org")</f>
        <v>rpenner@normanps.org</v>
      </c>
      <c r="C24" s="3"/>
      <c r="D24" s="3"/>
      <c r="E24" s="3"/>
      <c r="F24" s="6"/>
      <c r="G24" s="3"/>
      <c r="H24" s="3"/>
      <c r="I24" s="3" t="str">
        <f ca="1">IFERROR(__xludf.DUMMYFUNCTION("""COMPUTED_VALUE"""),"Curate")</f>
        <v>Curate</v>
      </c>
      <c r="J24" s="3" t="str">
        <f ca="1">IFERROR(__xludf.DUMMYFUNCTION("""COMPUTED_VALUE"""),"Science")</f>
        <v>Science</v>
      </c>
      <c r="K24" s="3" t="str">
        <f ca="1">IFERROR(__xludf.DUMMYFUNCTION("""COMPUTED_VALUE"""),"Second")</f>
        <v>Second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IFERROR(__xludf.DUMMYFUNCTION("""COMPUTED_VALUE"""),"Roosevelt")</f>
        <v>Roosevelt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IFERROR(__xludf.DUMMYFUNCTION("""COMPUTED_VALUE"""),45644.5398061111)</f>
        <v>45644.539806111097</v>
      </c>
      <c r="B25" s="3" t="str">
        <f ca="1">IFERROR(__xludf.DUMMYFUNCTION("""COMPUTED_VALUE"""),"sschrank@normanps.org")</f>
        <v>sschrank@normanps.org</v>
      </c>
      <c r="C25" s="3">
        <f ca="1">IFERROR(__xludf.DUMMYFUNCTION("""COMPUTED_VALUE"""),3584)</f>
        <v>3584</v>
      </c>
      <c r="D25" s="3"/>
      <c r="E25" s="3"/>
      <c r="F25" s="6"/>
      <c r="G25" s="3"/>
      <c r="H25" s="3"/>
      <c r="I25" s="3"/>
      <c r="J25" s="3"/>
      <c r="K25" s="3"/>
      <c r="L25" s="3"/>
      <c r="M25" s="3"/>
      <c r="N25" s="3">
        <f ca="1">IFERROR(__xludf.DUMMYFUNCTION("""COMPUTED_VALUE"""),912)</f>
        <v>912</v>
      </c>
      <c r="O25" s="3"/>
      <c r="P25" s="3"/>
      <c r="Q25" s="3"/>
      <c r="R25" s="3"/>
      <c r="S25" s="3"/>
      <c r="T25" s="3" t="str">
        <f ca="1">IFERROR(__xludf.DUMMYFUNCTION("""COMPUTED_VALUE"""),"Roosevelt")</f>
        <v>Roosevelt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IFERROR(__xludf.DUMMYFUNCTION("""COMPUTED_VALUE"""),45672.340870324)</f>
        <v>45672.340870323998</v>
      </c>
      <c r="B26" s="3" t="str">
        <f ca="1">IFERROR(__xludf.DUMMYFUNCTION("""COMPUTED_VALUE"""),"sschrank@normanps.org")</f>
        <v>sschrank@normanps.org</v>
      </c>
      <c r="C26" s="3">
        <f ca="1">IFERROR(__xludf.DUMMYFUNCTION("""COMPUTED_VALUE"""),1321)</f>
        <v>1321</v>
      </c>
      <c r="D26" s="3"/>
      <c r="E26" s="3"/>
      <c r="F26" s="6"/>
      <c r="G26" s="3"/>
      <c r="H26" s="3"/>
      <c r="I26" s="3"/>
      <c r="J26" s="3"/>
      <c r="K26" s="3"/>
      <c r="L26" s="3"/>
      <c r="M26" s="3"/>
      <c r="N26" s="3">
        <f ca="1">IFERROR(__xludf.DUMMYFUNCTION("""COMPUTED_VALUE"""),362)</f>
        <v>362</v>
      </c>
      <c r="O26" s="3"/>
      <c r="P26" s="3"/>
      <c r="Q26" s="3"/>
      <c r="R26" s="3"/>
      <c r="S26" s="3"/>
      <c r="T26" s="3" t="str">
        <f ca="1">IFERROR(__xludf.DUMMYFUNCTION("""COMPUTED_VALUE"""),"Roosevelt")</f>
        <v>Roosevelt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IFERROR(__xludf.DUMMYFUNCTION("""COMPUTED_VALUE"""),45673.6586821875)</f>
        <v>45673.658682187503</v>
      </c>
      <c r="B27" s="3" t="str">
        <f ca="1">IFERROR(__xludf.DUMMYFUNCTION("""COMPUTED_VALUE"""),"rpenner@normanps.org")</f>
        <v>rpenner@normanps.org</v>
      </c>
      <c r="C27" s="3"/>
      <c r="D27" s="3">
        <f ca="1">IFERROR(__xludf.DUMMYFUNCTION("""COMPUTED_VALUE"""),117)</f>
        <v>117</v>
      </c>
      <c r="E27" s="3"/>
      <c r="F27" s="6"/>
      <c r="G27" s="3">
        <f ca="1">IFERROR(__xludf.DUMMYFUNCTION("""COMPUTED_VALUE"""),3)</f>
        <v>3</v>
      </c>
      <c r="H27" s="3">
        <f ca="1">IFERROR(__xludf.DUMMYFUNCTION("""COMPUTED_VALUE"""),15)</f>
        <v>15</v>
      </c>
      <c r="I27" s="3" t="str">
        <f ca="1">IFERROR(__xludf.DUMMYFUNCTION("""COMPUTED_VALUE"""),"Curate")</f>
        <v>Curate</v>
      </c>
      <c r="J27" s="3" t="str">
        <f ca="1">IFERROR(__xludf.DUMMYFUNCTION("""COMPUTED_VALUE"""),"Science")</f>
        <v>Science</v>
      </c>
      <c r="K27" s="3" t="str">
        <f ca="1">IFERROR(__xludf.DUMMYFUNCTION("""COMPUTED_VALUE"""),"Prek")</f>
        <v>Prek</v>
      </c>
      <c r="L27" s="3"/>
      <c r="M27" s="3"/>
      <c r="N27" s="3"/>
      <c r="O27" s="3"/>
      <c r="P27" s="3" t="str">
        <f ca="1">IFERROR(__xludf.DUMMYFUNCTION("""COMPUTED_VALUE"""),"Pioneer Library")</f>
        <v>Pioneer Library</v>
      </c>
      <c r="Q27" s="3"/>
      <c r="R27" s="3" t="str">
        <f ca="1">IFERROR(__xludf.DUMMYFUNCTION("""COMPUTED_VALUE"""),"Winter Maker Space")</f>
        <v>Winter Maker Space</v>
      </c>
      <c r="S27" s="3"/>
      <c r="T27" s="3" t="str">
        <f ca="1">IFERROR(__xludf.DUMMYFUNCTION("""COMPUTED_VALUE"""),"Roosevelt")</f>
        <v>Roosevelt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IFERROR(__xludf.DUMMYFUNCTION("""COMPUTED_VALUE"""),45673.6592655324)</f>
        <v>45673.659265532398</v>
      </c>
      <c r="B28" s="3" t="str">
        <f ca="1">IFERROR(__xludf.DUMMYFUNCTION("""COMPUTED_VALUE"""),"rpenner@normanps.org")</f>
        <v>rpenner@normanps.org</v>
      </c>
      <c r="C28" s="3"/>
      <c r="D28" s="3"/>
      <c r="E28" s="3"/>
      <c r="F28" s="6"/>
      <c r="G28" s="3"/>
      <c r="H28" s="3"/>
      <c r="I28" s="3"/>
      <c r="J28" s="3"/>
      <c r="K28" s="3"/>
      <c r="L28" s="3"/>
      <c r="M28" s="3">
        <f ca="1">IFERROR(__xludf.DUMMYFUNCTION("""COMPUTED_VALUE"""),89)</f>
        <v>89</v>
      </c>
      <c r="N28" s="3"/>
      <c r="O28" s="3"/>
      <c r="P28" s="3"/>
      <c r="Q28" s="3"/>
      <c r="R28" s="3"/>
      <c r="S28" s="3"/>
      <c r="T28" s="3" t="str">
        <f ca="1">IFERROR(__xludf.DUMMYFUNCTION("""COMPUTED_VALUE"""),"Roosevelt")</f>
        <v>Roosevelt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IFERROR(__xludf.DUMMYFUNCTION("""COMPUTED_VALUE"""),45673.659744699)</f>
        <v>45673.659744698998</v>
      </c>
      <c r="B29" s="3" t="str">
        <f ca="1">IFERROR(__xludf.DUMMYFUNCTION("""COMPUTED_VALUE"""),"rpenner@normanps.org")</f>
        <v>rpenner@normanps.org</v>
      </c>
      <c r="C29" s="3"/>
      <c r="D29" s="3"/>
      <c r="E29" s="3"/>
      <c r="F29" s="6"/>
      <c r="G29" s="3"/>
      <c r="H29" s="3"/>
      <c r="I29" s="3"/>
      <c r="J29" s="3"/>
      <c r="K29" s="3"/>
      <c r="L29" s="3"/>
      <c r="M29" s="3">
        <f ca="1">IFERROR(__xludf.DUMMYFUNCTION("""COMPUTED_VALUE"""),89)</f>
        <v>89</v>
      </c>
      <c r="N29" s="3"/>
      <c r="O29" s="3"/>
      <c r="P29" s="3"/>
      <c r="Q29" s="3"/>
      <c r="R29" s="3"/>
      <c r="S29" s="3"/>
      <c r="T29" s="3" t="str">
        <f ca="1">IFERROR(__xludf.DUMMYFUNCTION("""COMPUTED_VALUE"""),"Roosevelt")</f>
        <v>Roosevelt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IFERROR(__xludf.DUMMYFUNCTION("""COMPUTED_VALUE"""),45693.4834818518)</f>
        <v>45693.483481851799</v>
      </c>
      <c r="B30" s="3" t="str">
        <f ca="1">IFERROR(__xludf.DUMMYFUNCTION("""COMPUTED_VALUE"""),"sschrank@normanps.org")</f>
        <v>sschrank@normanps.org</v>
      </c>
      <c r="C30" s="3">
        <f ca="1">IFERROR(__xludf.DUMMYFUNCTION("""COMPUTED_VALUE"""),1766)</f>
        <v>1766</v>
      </c>
      <c r="D30" s="3"/>
      <c r="E30" s="3"/>
      <c r="F30" s="6"/>
      <c r="G30" s="3"/>
      <c r="H30" s="3"/>
      <c r="I30" s="3"/>
      <c r="J30" s="3"/>
      <c r="K30" s="3"/>
      <c r="L30" s="3"/>
      <c r="M30" s="3"/>
      <c r="N30" s="3">
        <f ca="1">IFERROR(__xludf.DUMMYFUNCTION("""COMPUTED_VALUE"""),572)</f>
        <v>572</v>
      </c>
      <c r="O30" s="3"/>
      <c r="P30" s="3"/>
      <c r="Q30" s="3"/>
      <c r="R30" s="3"/>
      <c r="S30" s="3"/>
      <c r="T30" s="3" t="str">
        <f ca="1">IFERROR(__xludf.DUMMYFUNCTION("""COMPUTED_VALUE"""),"Roosevelt")</f>
        <v>Roosevelt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IFERROR(__xludf.DUMMYFUNCTION("""COMPUTED_VALUE"""),45750.3420548726)</f>
        <v>45750.342054872599</v>
      </c>
      <c r="B31" s="3" t="str">
        <f ca="1">IFERROR(__xludf.DUMMYFUNCTION("""COMPUTED_VALUE"""),"rpenner@normanps.org")</f>
        <v>rpenner@normanps.org</v>
      </c>
      <c r="C31" s="3"/>
      <c r="D31" s="3">
        <f ca="1">IFERROR(__xludf.DUMMYFUNCTION("""COMPUTED_VALUE"""),151)</f>
        <v>151</v>
      </c>
      <c r="E31" s="3"/>
      <c r="F31" s="6"/>
      <c r="G31" s="3">
        <f ca="1">IFERROR(__xludf.DUMMYFUNCTION("""COMPUTED_VALUE"""),15)</f>
        <v>15</v>
      </c>
      <c r="H31" s="3">
        <f ca="1">IFERROR(__xludf.DUMMYFUNCTION("""COMPUTED_VALUE"""),15)</f>
        <v>15</v>
      </c>
      <c r="I31" s="3"/>
      <c r="J31" s="3"/>
      <c r="K31" s="3"/>
      <c r="L31" s="3" t="str">
        <f ca="1">IFERROR(__xludf.DUMMYFUNCTION("""COMPUTED_VALUE"""),"Sensory Bin")</f>
        <v>Sensory Bin</v>
      </c>
      <c r="M31" s="3"/>
      <c r="N31" s="3"/>
      <c r="O31" s="3"/>
      <c r="P31" s="3"/>
      <c r="Q31" s="3"/>
      <c r="R31" s="3" t="str">
        <f ca="1">IFERROR(__xludf.DUMMYFUNCTION("""COMPUTED_VALUE"""),"Book Fair")</f>
        <v>Book Fair</v>
      </c>
      <c r="S31" s="3"/>
      <c r="T31" s="3" t="str">
        <f ca="1">IFERROR(__xludf.DUMMYFUNCTION("""COMPUTED_VALUE"""),"Roosevelt")</f>
        <v>Roosevelt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IFERROR(__xludf.DUMMYFUNCTION("""COMPUTED_VALUE"""),45750.3424522222)</f>
        <v>45750.342452222198</v>
      </c>
      <c r="B32" s="3" t="str">
        <f ca="1">IFERROR(__xludf.DUMMYFUNCTION("""COMPUTED_VALUE"""),"rpenner@normanps.org")</f>
        <v>rpenner@normanps.org</v>
      </c>
      <c r="C32" s="3"/>
      <c r="D32" s="3"/>
      <c r="E32" s="3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tr">
        <f ca="1">IFERROR(__xludf.DUMMYFUNCTION("""COMPUTED_VALUE"""),"STEAM Tank")</f>
        <v>STEAM Tank</v>
      </c>
      <c r="S32" s="3"/>
      <c r="T32" s="3" t="str">
        <f ca="1">IFERROR(__xludf.DUMMYFUNCTION("""COMPUTED_VALUE"""),"Roosevelt")</f>
        <v>Roosevelt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IFERROR(__xludf.DUMMYFUNCTION("""COMPUTED_VALUE"""),45750.3434427546)</f>
        <v>45750.343442754602</v>
      </c>
      <c r="B33" s="3" t="str">
        <f ca="1">IFERROR(__xludf.DUMMYFUNCTION("""COMPUTED_VALUE"""),"rpenner@normanps.org")</f>
        <v>rpenner@normanps.org</v>
      </c>
      <c r="C33" s="3"/>
      <c r="D33" s="3"/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tr">
        <f ca="1">IFERROR(__xludf.DUMMYFUNCTION("""COMPUTED_VALUE"""),"STEAM Night")</f>
        <v>STEAM Night</v>
      </c>
      <c r="S33" s="3"/>
      <c r="T33" s="3" t="str">
        <f ca="1">IFERROR(__xludf.DUMMYFUNCTION("""COMPUTED_VALUE"""),"Roosevelt")</f>
        <v>Roosevelt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IFERROR(__xludf.DUMMYFUNCTION("""COMPUTED_VALUE"""),45750.512335405)</f>
        <v>45750.512335405001</v>
      </c>
      <c r="B34" s="3" t="str">
        <f ca="1">IFERROR(__xludf.DUMMYFUNCTION("""COMPUTED_VALUE"""),"rpenner@normanps.org")</f>
        <v>rpenner@normanps.org</v>
      </c>
      <c r="C34" s="3"/>
      <c r="D34" s="3"/>
      <c r="E34" s="3"/>
      <c r="F34" s="6"/>
      <c r="G34" s="3"/>
      <c r="H34" s="3"/>
      <c r="I34" s="3"/>
      <c r="J34" s="3"/>
      <c r="K34" s="3"/>
      <c r="L34" s="3"/>
      <c r="M34" s="3"/>
      <c r="N34" s="3"/>
      <c r="O34" s="3"/>
      <c r="P34" s="3" t="str">
        <f ca="1">IFERROR(__xludf.DUMMYFUNCTION("""COMPUTED_VALUE"""),"The School of Meteorology at the University of Oklahoma")</f>
        <v>The School of Meteorology at the University of Oklahoma</v>
      </c>
      <c r="Q34" s="3"/>
      <c r="R34" s="3" t="str">
        <f ca="1">IFERROR(__xludf.DUMMYFUNCTION("""COMPUTED_VALUE"""),"Virtual Author Visit")</f>
        <v>Virtual Author Visit</v>
      </c>
      <c r="S34" s="3"/>
      <c r="T34" s="3" t="str">
        <f ca="1">IFERROR(__xludf.DUMMYFUNCTION("""COMPUTED_VALUE"""),"Roosevelt")</f>
        <v>Roosevelt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IFERROR(__xludf.DUMMYFUNCTION("""COMPUTED_VALUE"""),45750.5137026273)</f>
        <v>45750.513702627301</v>
      </c>
      <c r="B35" s="3" t="str">
        <f ca="1">IFERROR(__xludf.DUMMYFUNCTION("""COMPUTED_VALUE"""),"rpenner@normanps.org")</f>
        <v>rpenner@normanps.org</v>
      </c>
      <c r="C35" s="3"/>
      <c r="D35" s="3"/>
      <c r="E35" s="3"/>
      <c r="F35" s="6"/>
      <c r="G35" s="3"/>
      <c r="H35" s="3"/>
      <c r="I35" s="3" t="str">
        <f ca="1">IFERROR(__xludf.DUMMYFUNCTION("""COMPUTED_VALUE"""),"Collaborate")</f>
        <v>Collaborate</v>
      </c>
      <c r="J35" s="3" t="str">
        <f ca="1">IFERROR(__xludf.DUMMYFUNCTION("""COMPUTED_VALUE"""),"Social Studies")</f>
        <v>Social Studies</v>
      </c>
      <c r="K35" s="3"/>
      <c r="L35" s="3"/>
      <c r="M35" s="3"/>
      <c r="N35" s="3"/>
      <c r="O35" s="3"/>
      <c r="P35" s="3"/>
      <c r="Q35" s="3"/>
      <c r="R35" s="3"/>
      <c r="S35" s="3"/>
      <c r="T35" s="3" t="str">
        <f ca="1">IFERROR(__xludf.DUMMYFUNCTION("""COMPUTED_VALUE"""),"Roosevelt")</f>
        <v>Roosevelt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IFERROR(__xludf.DUMMYFUNCTION("""COMPUTED_VALUE"""),45750.5142265162)</f>
        <v>45750.514226516199</v>
      </c>
      <c r="B36" s="3" t="str">
        <f ca="1">IFERROR(__xludf.DUMMYFUNCTION("""COMPUTED_VALUE"""),"rpenner@normanps.org")</f>
        <v>rpenner@normanps.org</v>
      </c>
      <c r="C36" s="3"/>
      <c r="D36" s="3"/>
      <c r="E36" s="3"/>
      <c r="F36" s="6"/>
      <c r="G36" s="3"/>
      <c r="H36" s="3"/>
      <c r="I36" s="3" t="str">
        <f ca="1">IFERROR(__xludf.DUMMYFUNCTION("""COMPUTED_VALUE"""),"Inquire")</f>
        <v>Inquire</v>
      </c>
      <c r="J36" s="3" t="str">
        <f ca="1">IFERROR(__xludf.DUMMYFUNCTION("""COMPUTED_VALUE"""),"Math")</f>
        <v>Math</v>
      </c>
      <c r="K36" s="3"/>
      <c r="L36" s="3"/>
      <c r="M36" s="3"/>
      <c r="N36" s="3"/>
      <c r="O36" s="3"/>
      <c r="P36" s="3"/>
      <c r="Q36" s="3"/>
      <c r="R36" s="3"/>
      <c r="S36" s="3"/>
      <c r="T36" s="3" t="str">
        <f ca="1">IFERROR(__xludf.DUMMYFUNCTION("""COMPUTED_VALUE"""),"Roosevelt")</f>
        <v>Roosevelt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IFERROR(__xludf.DUMMYFUNCTION("""COMPUTED_VALUE"""),45765.3415567129)</f>
        <v>45765.341556712898</v>
      </c>
      <c r="B37" s="3" t="str">
        <f ca="1">IFERROR(__xludf.DUMMYFUNCTION("""COMPUTED_VALUE"""),"rpenner@normanps.org")</f>
        <v>rpenner@normanps.org</v>
      </c>
      <c r="C37" s="3"/>
      <c r="D37" s="3"/>
      <c r="E37" s="3"/>
      <c r="F37" s="6"/>
      <c r="G37" s="3"/>
      <c r="H37" s="3"/>
      <c r="I37" s="3"/>
      <c r="J37" s="3"/>
      <c r="K37" s="3"/>
      <c r="L37" s="3"/>
      <c r="M37" s="3"/>
      <c r="N37" s="3"/>
      <c r="O37" s="3"/>
      <c r="P37" s="3" t="str">
        <f ca="1">IFERROR(__xludf.DUMMYFUNCTION("""COMPUTED_VALUE"""),"Will Rogers Museum- Bart Taylor")</f>
        <v>Will Rogers Museum- Bart Taylor</v>
      </c>
      <c r="Q37" s="3"/>
      <c r="R37" s="3"/>
      <c r="S37" s="3"/>
      <c r="T37" s="3" t="str">
        <f ca="1">IFERROR(__xludf.DUMMYFUNCTION("""COMPUTED_VALUE"""),"Roosevelt")</f>
        <v>Roosevelt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IFERROR(__xludf.DUMMYFUNCTION("""COMPUTED_VALUE"""),45765.3436247916)</f>
        <v>45765.343624791603</v>
      </c>
      <c r="B38" s="3" t="str">
        <f ca="1">IFERROR(__xludf.DUMMYFUNCTION("""COMPUTED_VALUE"""),"rpenner@normanps.org")</f>
        <v>rpenner@normanps.org</v>
      </c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 t="str">
        <f ca="1">IFERROR(__xludf.DUMMYFUNCTION("""COMPUTED_VALUE"""),"University of Oklahoma")</f>
        <v>University of Oklahoma</v>
      </c>
      <c r="Q38" s="3"/>
      <c r="R38" s="3" t="str">
        <f ca="1">IFERROR(__xludf.DUMMYFUNCTION("""COMPUTED_VALUE"""),"Bart Taylor- Will Rogers Museum")</f>
        <v>Bart Taylor- Will Rogers Museum</v>
      </c>
      <c r="S38" s="3"/>
      <c r="T38" s="3" t="str">
        <f ca="1">IFERROR(__xludf.DUMMYFUNCTION("""COMPUTED_VALUE"""),"Roosevelt")</f>
        <v>Roosevelt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IFERROR(__xludf.DUMMYFUNCTION("""COMPUTED_VALUE"""),45765.3450985416)</f>
        <v>45765.345098541598</v>
      </c>
      <c r="B39" s="3" t="str">
        <f ca="1">IFERROR(__xludf.DUMMYFUNCTION("""COMPUTED_VALUE"""),"rpenner@normanps.org")</f>
        <v>rpenner@normanps.org</v>
      </c>
      <c r="C39" s="3"/>
      <c r="D39" s="3"/>
      <c r="E39" s="3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tr">
        <f ca="1">IFERROR(__xludf.DUMMYFUNCTION("""COMPUTED_VALUE"""),"Meteorologist Visit- Dr. Cameron R. Homeyer")</f>
        <v>Meteorologist Visit- Dr. Cameron R. Homeyer</v>
      </c>
      <c r="S39" s="3"/>
      <c r="T39" s="3" t="str">
        <f ca="1">IFERROR(__xludf.DUMMYFUNCTION("""COMPUTED_VALUE"""),"Roosevelt")</f>
        <v>Roosevelt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IFERROR(__xludf.DUMMYFUNCTION("""COMPUTED_VALUE"""),45805.62704603)</f>
        <v>45805.62704603</v>
      </c>
      <c r="B40" s="3" t="str">
        <f ca="1">IFERROR(__xludf.DUMMYFUNCTION("""COMPUTED_VALUE"""),"rpenner@normanps.org")</f>
        <v>rpenner@normanps.org</v>
      </c>
      <c r="C40" s="3"/>
      <c r="D40" s="3">
        <f ca="1">IFERROR(__xludf.DUMMYFUNCTION("""COMPUTED_VALUE"""),110)</f>
        <v>110</v>
      </c>
      <c r="E40" s="3"/>
      <c r="F40" s="6"/>
      <c r="G40" s="3"/>
      <c r="H40" s="3">
        <f ca="1">IFERROR(__xludf.DUMMYFUNCTION("""COMPUTED_VALUE"""),20)</f>
        <v>20</v>
      </c>
      <c r="I40" s="3"/>
      <c r="J40" s="3"/>
      <c r="K40" s="3"/>
      <c r="L40" s="3"/>
      <c r="M40" s="3">
        <f ca="1">IFERROR(__xludf.DUMMYFUNCTION("""COMPUTED_VALUE"""),400)</f>
        <v>400</v>
      </c>
      <c r="N40" s="3"/>
      <c r="O40" s="3"/>
      <c r="P40" s="3"/>
      <c r="Q40" s="3"/>
      <c r="R40" s="3"/>
      <c r="S40" s="3"/>
      <c r="T40" s="3" t="str">
        <f ca="1">IFERROR(__xludf.DUMMYFUNCTION("""COMPUTED_VALUE"""),"Roosevelt")</f>
        <v>Roosevelt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IFERROR(__xludf.DUMMYFUNCTION("""COMPUTED_VALUE"""),45533.5974305555)</f>
        <v>45533.597430555499</v>
      </c>
      <c r="B41" s="3" t="str">
        <f ca="1">IFERROR(__xludf.DUMMYFUNCTION("""COMPUTED_VALUE"""),"akordelis2@normanps.org")</f>
        <v>akordelis2@normanps.org</v>
      </c>
      <c r="C41" s="3">
        <f ca="1">IFERROR(__xludf.DUMMYFUNCTION("""COMPUTED_VALUE"""),1)</f>
        <v>1</v>
      </c>
      <c r="D41" s="3">
        <f ca="1">IFERROR(__xludf.DUMMYFUNCTION("""COMPUTED_VALUE"""),1)</f>
        <v>1</v>
      </c>
      <c r="E41" s="3">
        <f ca="1">IFERROR(__xludf.DUMMYFUNCTION("""COMPUTED_VALUE"""),1)</f>
        <v>1</v>
      </c>
      <c r="F41" s="6">
        <f ca="1">IFERROR(__xludf.DUMMYFUNCTION("""COMPUTED_VALUE"""),1)</f>
        <v>1</v>
      </c>
      <c r="G41" s="3">
        <f ca="1">IFERROR(__xludf.DUMMYFUNCTION("""COMPUTED_VALUE"""),1)</f>
        <v>1</v>
      </c>
      <c r="H41" s="3">
        <f ca="1">IFERROR(__xludf.DUMMYFUNCTION("""COMPUTED_VALUE"""),1)</f>
        <v>1</v>
      </c>
      <c r="I41" s="3" t="str">
        <f ca="1">IFERROR(__xludf.DUMMYFUNCTION("""COMPUTED_VALUE"""),"Inquire")</f>
        <v>Inquire</v>
      </c>
      <c r="J41" s="3" t="str">
        <f ca="1">IFERROR(__xludf.DUMMYFUNCTION("""COMPUTED_VALUE"""),"ELA")</f>
        <v>ELA</v>
      </c>
      <c r="K41" s="3" t="str">
        <f ca="1">IFERROR(__xludf.DUMMYFUNCTION("""COMPUTED_VALUE"""),"Prek")</f>
        <v>Prek</v>
      </c>
      <c r="L41" s="3" t="str">
        <f ca="1">IFERROR(__xludf.DUMMYFUNCTION("""COMPUTED_VALUE"""),"Air Dry Clay")</f>
        <v>Air Dry Clay</v>
      </c>
      <c r="M41" s="3">
        <f ca="1">IFERROR(__xludf.DUMMYFUNCTION("""COMPUTED_VALUE"""),1)</f>
        <v>1</v>
      </c>
      <c r="N41" s="3">
        <f ca="1">IFERROR(__xludf.DUMMYFUNCTION("""COMPUTED_VALUE"""),1)</f>
        <v>1</v>
      </c>
      <c r="O41" s="3">
        <f ca="1">IFERROR(__xludf.DUMMYFUNCTION("""COMPUTED_VALUE"""),1)</f>
        <v>1</v>
      </c>
      <c r="P41" s="3" t="str">
        <f ca="1">IFERROR(__xludf.DUMMYFUNCTION("""COMPUTED_VALUE"""),"Pioneer")</f>
        <v>Pioneer</v>
      </c>
      <c r="Q41" s="3" t="str">
        <f ca="1">IFERROR(__xludf.DUMMYFUNCTION("""COMPUTED_VALUE"""),"OLA")</f>
        <v>OLA</v>
      </c>
      <c r="R41" s="3" t="str">
        <f ca="1">IFERROR(__xludf.DUMMYFUNCTION("""COMPUTED_VALUE"""),"Literacy Night")</f>
        <v>Literacy Night</v>
      </c>
      <c r="S41" s="3">
        <f ca="1">IFERROR(__xludf.DUMMYFUNCTION("""COMPUTED_VALUE"""),1)</f>
        <v>1</v>
      </c>
      <c r="T41" s="3" t="str">
        <f ca="1">IFERROR(__xludf.DUMMYFUNCTION("""COMPUTED_VALUE"""),"Roosevelt")</f>
        <v>Roosevelt</v>
      </c>
      <c r="U41" s="3"/>
      <c r="V41" s="3"/>
      <c r="W41" s="3"/>
      <c r="X41" s="3"/>
      <c r="Y41" s="3"/>
      <c r="Z41" s="3"/>
      <c r="AA41" s="3"/>
      <c r="AB41" s="3"/>
      <c r="AC4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J1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'Truman'"",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IFERROR(__xludf.DUMMYFUNCTION("""COMPUTED_VALUE"""),45538.4202538194)</f>
        <v>45538.4202538194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IFERROR(__xludf.DUMMYFUNCTION("""COMPUTED_VALUE"""),1416)</f>
        <v>1416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IFERROR(__xludf.DUMMYFUNCTION("""COMPUTED_VALUE"""),208)</f>
        <v>208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IFERROR(__xludf.DUMMYFUNCTION("""COMPUTED_VALUE"""),"Truman")</f>
        <v>Truman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IFERROR(__xludf.DUMMYFUNCTION("""COMPUTED_VALUE"""),45562.6010973379)</f>
        <v>45562.601097337902</v>
      </c>
      <c r="B3" s="3" t="str">
        <f ca="1">IFERROR(__xludf.DUMMYFUNCTION("""COMPUTED_VALUE"""),"ttoquinto@normanps.org")</f>
        <v>ttoquinto@normanps.org</v>
      </c>
      <c r="C3" s="3"/>
      <c r="D3" s="3">
        <f ca="1">IFERROR(__xludf.DUMMYFUNCTION("""COMPUTED_VALUE"""),14)</f>
        <v>14</v>
      </c>
      <c r="E3" s="3"/>
      <c r="F3" s="6"/>
      <c r="G3" s="3">
        <f ca="1">IFERROR(__xludf.DUMMYFUNCTION("""COMPUTED_VALUE"""),32)</f>
        <v>32</v>
      </c>
      <c r="H3" s="3">
        <f ca="1">IFERROR(__xludf.DUMMYFUNCTION("""COMPUTED_VALUE"""),11)</f>
        <v>11</v>
      </c>
      <c r="I3" s="3"/>
      <c r="J3" s="3"/>
      <c r="K3" s="3"/>
      <c r="L3" s="3" t="str">
        <f ca="1">IFERROR(__xludf.DUMMYFUNCTION("""COMPUTED_VALUE"""),"3d pen and Beast of Balance")</f>
        <v>3d pen and Beast of Balance</v>
      </c>
      <c r="M3" s="3"/>
      <c r="N3" s="3"/>
      <c r="O3" s="3"/>
      <c r="P3" s="3"/>
      <c r="Q3" s="3" t="str">
        <f ca="1">IFERROR(__xludf.DUMMYFUNCTION("""COMPUTED_VALUE"""),"Superintendent's Leadership Council")</f>
        <v>Superintendent's Leadership Council</v>
      </c>
      <c r="R3" s="3" t="str">
        <f ca="1">IFERROR(__xludf.DUMMYFUNCTION("""COMPUTED_VALUE"""),"Bilingual Storytime with Latinx Kidlit Book Festival")</f>
        <v>Bilingual Storytime with Latinx Kidlit Book Festival</v>
      </c>
      <c r="S3" s="3"/>
      <c r="T3" s="3" t="str">
        <f ca="1">IFERROR(__xludf.DUMMYFUNCTION("""COMPUTED_VALUE"""),"Truman")</f>
        <v>Truman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IFERROR(__xludf.DUMMYFUNCTION("""COMPUTED_VALUE"""),45573.4186972338)</f>
        <v>45573.418697233799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IFERROR(__xludf.DUMMYFUNCTION("""COMPUTED_VALUE"""),2125)</f>
        <v>2125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IFERROR(__xludf.DUMMYFUNCTION("""COMPUTED_VALUE"""),219)</f>
        <v>219</v>
      </c>
      <c r="O4" s="3"/>
      <c r="P4" s="3"/>
      <c r="Q4" s="3"/>
      <c r="R4" s="3"/>
      <c r="S4" s="3"/>
      <c r="T4" s="3" t="str">
        <f ca="1">IFERROR(__xludf.DUMMYFUNCTION("""COMPUTED_VALUE"""),"Truman")</f>
        <v>Truman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IFERROR(__xludf.DUMMYFUNCTION("""COMPUTED_VALUE"""),45587.3506901967)</f>
        <v>45587.350690196698</v>
      </c>
      <c r="B5" s="3" t="str">
        <f ca="1">IFERROR(__xludf.DUMMYFUNCTION("""COMPUTED_VALUE"""),"ttoquinto@normanps.org")</f>
        <v>ttoquinto@normanps.org</v>
      </c>
      <c r="C5" s="3"/>
      <c r="D5" s="3">
        <f ca="1">IFERROR(__xludf.DUMMYFUNCTION("""COMPUTED_VALUE"""),28)</f>
        <v>28</v>
      </c>
      <c r="E5" s="3"/>
      <c r="F5" s="6"/>
      <c r="G5" s="3">
        <f ca="1">IFERROR(__xludf.DUMMYFUNCTION("""COMPUTED_VALUE"""),70.5)</f>
        <v>70.5</v>
      </c>
      <c r="H5" s="3">
        <f ca="1">IFERROR(__xludf.DUMMYFUNCTION("""COMPUTED_VALUE"""),20)</f>
        <v>20</v>
      </c>
      <c r="I5" s="3"/>
      <c r="J5" s="3"/>
      <c r="K5" s="3"/>
      <c r="L5" s="3"/>
      <c r="M5" s="3"/>
      <c r="N5" s="3"/>
      <c r="O5" s="3"/>
      <c r="P5" s="3"/>
      <c r="Q5" s="3"/>
      <c r="R5" s="3" t="str">
        <f ca="1">IFERROR(__xludf.DUMMYFUNCTION("""COMPUTED_VALUE"""),"Multicultural Fair")</f>
        <v>Multicultural Fair</v>
      </c>
      <c r="S5" s="3">
        <f ca="1">IFERROR(__xludf.DUMMYFUNCTION("""COMPUTED_VALUE"""),2)</f>
        <v>2</v>
      </c>
      <c r="T5" s="3" t="str">
        <f ca="1">IFERROR(__xludf.DUMMYFUNCTION("""COMPUTED_VALUE"""),"Truman")</f>
        <v>Truman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IFERROR(__xludf.DUMMYFUNCTION("""COMPUTED_VALUE"""),45587.3511358217)</f>
        <v>45587.3511358217</v>
      </c>
      <c r="B6" s="3" t="str">
        <f ca="1">IFERROR(__xludf.DUMMYFUNCTION("""COMPUTED_VALUE"""),"ttoquinto@normanps.org")</f>
        <v>ttoquinto@normanps.org</v>
      </c>
      <c r="C6" s="3"/>
      <c r="D6" s="3"/>
      <c r="E6" s="3"/>
      <c r="F6" s="6"/>
      <c r="G6" s="3"/>
      <c r="H6" s="3"/>
      <c r="I6" s="3" t="str">
        <f ca="1">IFERROR(__xludf.DUMMYFUNCTION("""COMPUTED_VALUE"""),"Explore")</f>
        <v>Explore</v>
      </c>
      <c r="J6" s="3" t="str">
        <f ca="1">IFERROR(__xludf.DUMMYFUNCTION("""COMPUTED_VALUE"""),"Social Studies")</f>
        <v>Social Studies</v>
      </c>
      <c r="K6" s="3" t="str">
        <f ca="1">IFERROR(__xludf.DUMMYFUNCTION("""COMPUTED_VALUE"""),"Third")</f>
        <v>Third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IFERROR(__xludf.DUMMYFUNCTION("""COMPUTED_VALUE"""),"Truman")</f>
        <v>Truman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IFERROR(__xludf.DUMMYFUNCTION("""COMPUTED_VALUE"""),45587.35149978)</f>
        <v>45587.351499780001</v>
      </c>
      <c r="B7" s="3" t="str">
        <f ca="1">IFERROR(__xludf.DUMMYFUNCTION("""COMPUTED_VALUE"""),"ttoquinto@normanps.org")</f>
        <v>ttoquinto@normanps.org</v>
      </c>
      <c r="C7" s="3"/>
      <c r="D7" s="3"/>
      <c r="E7" s="3"/>
      <c r="F7" s="6"/>
      <c r="G7" s="3"/>
      <c r="H7" s="3"/>
      <c r="I7" s="3" t="str">
        <f ca="1">IFERROR(__xludf.DUMMYFUNCTION("""COMPUTED_VALUE"""),"Include")</f>
        <v>Include</v>
      </c>
      <c r="J7" s="3" t="str">
        <f ca="1">IFERROR(__xludf.DUMMYFUNCTION("""COMPUTED_VALUE"""),"ELA")</f>
        <v>ELA</v>
      </c>
      <c r="K7" s="3" t="str">
        <f ca="1">IFERROR(__xludf.DUMMYFUNCTION("""COMPUTED_VALUE"""),"Fourth")</f>
        <v>Fourth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IFERROR(__xludf.DUMMYFUNCTION("""COMPUTED_VALUE"""),"Truman")</f>
        <v>Truman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IFERROR(__xludf.DUMMYFUNCTION("""COMPUTED_VALUE"""),45587.35181103)</f>
        <v>45587.351811029999</v>
      </c>
      <c r="B8" s="3" t="str">
        <f ca="1">IFERROR(__xludf.DUMMYFUNCTION("""COMPUTED_VALUE"""),"ttoquinto@normanps.org")</f>
        <v>ttoquinto@normanps.org</v>
      </c>
      <c r="C8" s="3"/>
      <c r="D8" s="3"/>
      <c r="E8" s="3"/>
      <c r="F8" s="6"/>
      <c r="G8" s="3"/>
      <c r="H8" s="3"/>
      <c r="I8" s="3" t="str">
        <f ca="1">IFERROR(__xludf.DUMMYFUNCTION("""COMPUTED_VALUE"""),"Include")</f>
        <v>Include</v>
      </c>
      <c r="J8" s="3" t="str">
        <f ca="1">IFERROR(__xludf.DUMMYFUNCTION("""COMPUTED_VALUE"""),"ELA")</f>
        <v>ELA</v>
      </c>
      <c r="K8" s="3" t="str">
        <f ca="1">IFERROR(__xludf.DUMMYFUNCTION("""COMPUTED_VALUE"""),"Fifth")</f>
        <v>Fifth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IFERROR(__xludf.DUMMYFUNCTION("""COMPUTED_VALUE"""),"Truman")</f>
        <v>Truman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IFERROR(__xludf.DUMMYFUNCTION("""COMPUTED_VALUE"""),45644.5410638888)</f>
        <v>45644.541063888799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IFERROR(__xludf.DUMMYFUNCTION("""COMPUTED_VALUE"""),2801)</f>
        <v>2801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IFERROR(__xludf.DUMMYFUNCTION("""COMPUTED_VALUE"""),302)</f>
        <v>302</v>
      </c>
      <c r="O9" s="3"/>
      <c r="P9" s="3"/>
      <c r="Q9" s="3"/>
      <c r="R9" s="3"/>
      <c r="S9" s="3"/>
      <c r="T9" s="3" t="str">
        <f ca="1">IFERROR(__xludf.DUMMYFUNCTION("""COMPUTED_VALUE"""),"Truman")</f>
        <v>Truman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IFERROR(__xludf.DUMMYFUNCTION("""COMPUTED_VALUE"""),45644.5578560879)</f>
        <v>45644.5578560879</v>
      </c>
      <c r="B10" s="3" t="str">
        <f ca="1">IFERROR(__xludf.DUMMYFUNCTION("""COMPUTED_VALUE"""),"sschrank@normanps.org")</f>
        <v>sschrank@normanps.org</v>
      </c>
      <c r="C10" s="3">
        <f ca="1">IFERROR(__xludf.DUMMYFUNCTION("""COMPUTED_VALUE"""),-205)</f>
        <v>-205</v>
      </c>
      <c r="D10" s="3"/>
      <c r="E10" s="3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IFERROR(__xludf.DUMMYFUNCTION("""COMPUTED_VALUE"""),"Truman")</f>
        <v>Truman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IFERROR(__xludf.DUMMYFUNCTION("""COMPUTED_VALUE"""),45644.6146916319)</f>
        <v>45644.614691631898</v>
      </c>
      <c r="B11" s="3" t="str">
        <f ca="1">IFERROR(__xludf.DUMMYFUNCTION("""COMPUTED_VALUE"""),"sschrank@normanps.org")</f>
        <v>sschrank@normanps.org</v>
      </c>
      <c r="C11" s="3">
        <f ca="1">IFERROR(__xludf.DUMMYFUNCTION("""COMPUTED_VALUE"""),205)</f>
        <v>205</v>
      </c>
      <c r="D11" s="3"/>
      <c r="E11" s="3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IFERROR(__xludf.DUMMYFUNCTION("""COMPUTED_VALUE"""),"Truman")</f>
        <v>Truman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IFERROR(__xludf.DUMMYFUNCTION("""COMPUTED_VALUE"""),45672.3416309143)</f>
        <v>45672.341630914299</v>
      </c>
      <c r="B12" s="3" t="str">
        <f ca="1">IFERROR(__xludf.DUMMYFUNCTION("""COMPUTED_VALUE"""),"sschrank@normanps.org")</f>
        <v>sschrank@normanps.org</v>
      </c>
      <c r="C12" s="3">
        <f ca="1">IFERROR(__xludf.DUMMYFUNCTION("""COMPUTED_VALUE"""),1142)</f>
        <v>1142</v>
      </c>
      <c r="D12" s="3"/>
      <c r="E12" s="3"/>
      <c r="F12" s="6"/>
      <c r="G12" s="3"/>
      <c r="H12" s="3"/>
      <c r="I12" s="3"/>
      <c r="J12" s="3"/>
      <c r="K12" s="3"/>
      <c r="L12" s="3"/>
      <c r="M12" s="3"/>
      <c r="N12" s="3">
        <f ca="1">IFERROR(__xludf.DUMMYFUNCTION("""COMPUTED_VALUE"""),112)</f>
        <v>112</v>
      </c>
      <c r="O12" s="3"/>
      <c r="P12" s="3"/>
      <c r="Q12" s="3"/>
      <c r="R12" s="3"/>
      <c r="S12" s="3"/>
      <c r="T12" s="3" t="str">
        <f ca="1">IFERROR(__xludf.DUMMYFUNCTION("""COMPUTED_VALUE"""),"Truman")</f>
        <v>Truman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IFERROR(__xludf.DUMMYFUNCTION("""COMPUTED_VALUE"""),45693.4840132754)</f>
        <v>45693.484013275403</v>
      </c>
      <c r="B13" s="3" t="str">
        <f ca="1">IFERROR(__xludf.DUMMYFUNCTION("""COMPUTED_VALUE"""),"sschrank@normanps.org")</f>
        <v>sschrank@normanps.org</v>
      </c>
      <c r="C13" s="3">
        <f ca="1">IFERROR(__xludf.DUMMYFUNCTION("""COMPUTED_VALUE"""),1359)</f>
        <v>1359</v>
      </c>
      <c r="D13" s="3"/>
      <c r="E13" s="3"/>
      <c r="F13" s="6"/>
      <c r="G13" s="3"/>
      <c r="H13" s="3"/>
      <c r="I13" s="3"/>
      <c r="J13" s="3"/>
      <c r="K13" s="3"/>
      <c r="L13" s="3"/>
      <c r="M13" s="3"/>
      <c r="N13" s="3">
        <f ca="1">IFERROR(__xludf.DUMMYFUNCTION("""COMPUTED_VALUE"""),253)</f>
        <v>253</v>
      </c>
      <c r="O13" s="3"/>
      <c r="P13" s="3"/>
      <c r="Q13" s="3"/>
      <c r="R13" s="3"/>
      <c r="S13" s="3"/>
      <c r="T13" s="3" t="str">
        <f ca="1">IFERROR(__xludf.DUMMYFUNCTION("""COMPUTED_VALUE"""),"Truman")</f>
        <v>Truman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IFERROR(__xludf.DUMMYFUNCTION("""COMPUTED_VALUE"""),45534.5974305555)</f>
        <v>45534.597430555499</v>
      </c>
      <c r="B14" s="3" t="str">
        <f ca="1">IFERROR(__xludf.DUMMYFUNCTION("""COMPUTED_VALUE"""),"akordelis2@normanps.org")</f>
        <v>akordelis2@normanps.org</v>
      </c>
      <c r="C14" s="3">
        <f ca="1">IFERROR(__xludf.DUMMYFUNCTION("""COMPUTED_VALUE"""),1)</f>
        <v>1</v>
      </c>
      <c r="D14" s="3">
        <f ca="1">IFERROR(__xludf.DUMMYFUNCTION("""COMPUTED_VALUE"""),1)</f>
        <v>1</v>
      </c>
      <c r="E14" s="3">
        <f ca="1">IFERROR(__xludf.DUMMYFUNCTION("""COMPUTED_VALUE"""),1)</f>
        <v>1</v>
      </c>
      <c r="F14" s="6">
        <f ca="1">IFERROR(__xludf.DUMMYFUNCTION("""COMPUTED_VALUE"""),1)</f>
        <v>1</v>
      </c>
      <c r="G14" s="3">
        <f ca="1">IFERROR(__xludf.DUMMYFUNCTION("""COMPUTED_VALUE"""),1)</f>
        <v>1</v>
      </c>
      <c r="H14" s="3">
        <f ca="1">IFERROR(__xludf.DUMMYFUNCTION("""COMPUTED_VALUE"""),1)</f>
        <v>1</v>
      </c>
      <c r="I14" s="3" t="str">
        <f ca="1">IFERROR(__xludf.DUMMYFUNCTION("""COMPUTED_VALUE"""),"Inquire")</f>
        <v>Inquire</v>
      </c>
      <c r="J14" s="3" t="str">
        <f ca="1">IFERROR(__xludf.DUMMYFUNCTION("""COMPUTED_VALUE"""),"ELA")</f>
        <v>ELA</v>
      </c>
      <c r="K14" s="3" t="str">
        <f ca="1">IFERROR(__xludf.DUMMYFUNCTION("""COMPUTED_VALUE"""),"Prek")</f>
        <v>Prek</v>
      </c>
      <c r="L14" s="3" t="str">
        <f ca="1">IFERROR(__xludf.DUMMYFUNCTION("""COMPUTED_VALUE"""),"Air Dry Clay")</f>
        <v>Air Dry Clay</v>
      </c>
      <c r="M14" s="3">
        <f ca="1">IFERROR(__xludf.DUMMYFUNCTION("""COMPUTED_VALUE"""),1)</f>
        <v>1</v>
      </c>
      <c r="N14" s="3">
        <f ca="1">IFERROR(__xludf.DUMMYFUNCTION("""COMPUTED_VALUE"""),1)</f>
        <v>1</v>
      </c>
      <c r="O14" s="3">
        <f ca="1">IFERROR(__xludf.DUMMYFUNCTION("""COMPUTED_VALUE"""),1)</f>
        <v>1</v>
      </c>
      <c r="P14" s="3" t="str">
        <f ca="1">IFERROR(__xludf.DUMMYFUNCTION("""COMPUTED_VALUE"""),"Pioneer")</f>
        <v>Pioneer</v>
      </c>
      <c r="Q14" s="3" t="str">
        <f ca="1">IFERROR(__xludf.DUMMYFUNCTION("""COMPUTED_VALUE"""),"OLA")</f>
        <v>OLA</v>
      </c>
      <c r="R14" s="3" t="str">
        <f ca="1">IFERROR(__xludf.DUMMYFUNCTION("""COMPUTED_VALUE"""),"Literacy Night")</f>
        <v>Literacy Night</v>
      </c>
      <c r="S14" s="3">
        <f ca="1">IFERROR(__xludf.DUMMYFUNCTION("""COMPUTED_VALUE"""),1)</f>
        <v>1</v>
      </c>
      <c r="T14" s="3" t="str">
        <f ca="1">IFERROR(__xludf.DUMMYFUNCTION("""COMPUTED_VALUE"""),"Truman")</f>
        <v>Truman</v>
      </c>
      <c r="U14" s="3"/>
      <c r="V14" s="3"/>
      <c r="W14" s="3"/>
      <c r="X14" s="3"/>
      <c r="Y14" s="3"/>
      <c r="Z14" s="3"/>
      <c r="AA14" s="3"/>
      <c r="AB14" s="3"/>
      <c r="AC1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J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'Truman Primary'"",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IFERROR(__xludf.DUMMYFUNCTION("""COMPUTED_VALUE"""),45538.4198557754)</f>
        <v>45538.419855775399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IFERROR(__xludf.DUMMYFUNCTION("""COMPUTED_VALUE"""),1127)</f>
        <v>1127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IFERROR(__xludf.DUMMYFUNCTION("""COMPUTED_VALUE"""),0)</f>
        <v>0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IFERROR(__xludf.DUMMYFUNCTION("""COMPUTED_VALUE"""),"Truman Primary")</f>
        <v>Truman Primary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IFERROR(__xludf.DUMMYFUNCTION("""COMPUTED_VALUE"""),45565.3754596759)</f>
        <v>45565.375459675903</v>
      </c>
      <c r="B3" s="3" t="str">
        <f ca="1">IFERROR(__xludf.DUMMYFUNCTION("""COMPUTED_VALUE"""),"lcollings@normanps.org")</f>
        <v>lcollings@normanps.org</v>
      </c>
      <c r="C3" s="3"/>
      <c r="D3" s="3"/>
      <c r="E3" s="3"/>
      <c r="F3" s="6">
        <f ca="1">IFERROR(__xludf.DUMMYFUNCTION("""COMPUTED_VALUE"""),0)</f>
        <v>0</v>
      </c>
      <c r="G3" s="3">
        <f ca="1">IFERROR(__xludf.DUMMYFUNCTION("""COMPUTED_VALUE"""),23)</f>
        <v>23</v>
      </c>
      <c r="H3" s="3">
        <f ca="1">IFERROR(__xludf.DUMMYFUNCTION("""COMPUTED_VALUE"""),4)</f>
        <v>4</v>
      </c>
      <c r="I3" s="3"/>
      <c r="J3" s="3"/>
      <c r="K3" s="3"/>
      <c r="L3" s="3" t="str">
        <f ca="1">IFERROR(__xludf.DUMMYFUNCTION("""COMPUTED_VALUE"""),"LEGO Coding Express")</f>
        <v>LEGO Coding Express</v>
      </c>
      <c r="M3" s="3">
        <f ca="1">IFERROR(__xludf.DUMMYFUNCTION("""COMPUTED_VALUE"""),0)</f>
        <v>0</v>
      </c>
      <c r="N3" s="3"/>
      <c r="O3" s="3"/>
      <c r="P3" s="3"/>
      <c r="Q3" s="3"/>
      <c r="R3" s="3" t="str">
        <f ca="1">IFERROR(__xludf.DUMMYFUNCTION("""COMPUTED_VALUE"""),"Recess Clubs--LEGO Club")</f>
        <v>Recess Clubs--LEGO Club</v>
      </c>
      <c r="S3" s="3">
        <f ca="1">IFERROR(__xludf.DUMMYFUNCTION("""COMPUTED_VALUE"""),0)</f>
        <v>0</v>
      </c>
      <c r="T3" s="3" t="str">
        <f ca="1">IFERROR(__xludf.DUMMYFUNCTION("""COMPUTED_VALUE"""),"Truman Primary")</f>
        <v>Truman Primary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IFERROR(__xludf.DUMMYFUNCTION("""COMPUTED_VALUE"""),45565.3757911689)</f>
        <v>45565.375791168903</v>
      </c>
      <c r="B4" s="3" t="str">
        <f ca="1">IFERROR(__xludf.DUMMYFUNCTION("""COMPUTED_VALUE"""),"lcollings@normanps.org")</f>
        <v>lcollings@normanps.org</v>
      </c>
      <c r="C4" s="3"/>
      <c r="D4" s="3">
        <f ca="1">IFERROR(__xludf.DUMMYFUNCTION("""COMPUTED_VALUE"""),4)</f>
        <v>4</v>
      </c>
      <c r="E4" s="3"/>
      <c r="F4" s="6"/>
      <c r="G4" s="3"/>
      <c r="H4" s="3"/>
      <c r="I4" s="3" t="str">
        <f ca="1">IFERROR(__xludf.DUMMYFUNCTION("""COMPUTED_VALUE"""),"Explore")</f>
        <v>Explore</v>
      </c>
      <c r="J4" s="3" t="str">
        <f ca="1">IFERROR(__xludf.DUMMYFUNCTION("""COMPUTED_VALUE"""),"ELA")</f>
        <v>ELA</v>
      </c>
      <c r="K4" s="3" t="str">
        <f ca="1">IFERROR(__xludf.DUMMYFUNCTION("""COMPUTED_VALUE"""),"Second")</f>
        <v>Second</v>
      </c>
      <c r="L4" s="3"/>
      <c r="M4" s="3"/>
      <c r="N4" s="3"/>
      <c r="O4" s="3"/>
      <c r="P4" s="3"/>
      <c r="Q4" s="3"/>
      <c r="R4" s="3"/>
      <c r="S4" s="3"/>
      <c r="T4" s="3" t="str">
        <f ca="1">IFERROR(__xludf.DUMMYFUNCTION("""COMPUTED_VALUE"""),"Truman Primary")</f>
        <v>Truman Primary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IFERROR(__xludf.DUMMYFUNCTION("""COMPUTED_VALUE"""),45565.377445243)</f>
        <v>45565.377445243001</v>
      </c>
      <c r="B5" s="3" t="str">
        <f ca="1">IFERROR(__xludf.DUMMYFUNCTION("""COMPUTED_VALUE"""),"lcollings@normanps.org")</f>
        <v>lcollings@normanps.org</v>
      </c>
      <c r="C5" s="3"/>
      <c r="D5" s="3">
        <f ca="1">IFERROR(__xludf.DUMMYFUNCTION("""COMPUTED_VALUE"""),4)</f>
        <v>4</v>
      </c>
      <c r="E5" s="3"/>
      <c r="F5" s="6"/>
      <c r="G5" s="3"/>
      <c r="H5" s="3"/>
      <c r="I5" s="3" t="str">
        <f ca="1">IFERROR(__xludf.DUMMYFUNCTION("""COMPUTED_VALUE"""),"Engage")</f>
        <v>Engage</v>
      </c>
      <c r="J5" s="3" t="str">
        <f ca="1">IFERROR(__xludf.DUMMYFUNCTION("""COMPUTED_VALUE"""),"ELA")</f>
        <v>ELA</v>
      </c>
      <c r="K5" s="3" t="str">
        <f ca="1">IFERROR(__xludf.DUMMYFUNCTION("""COMPUTED_VALUE"""),"Second")</f>
        <v>Second</v>
      </c>
      <c r="L5" s="3"/>
      <c r="M5" s="3"/>
      <c r="N5" s="3"/>
      <c r="O5" s="3"/>
      <c r="P5" s="3"/>
      <c r="Q5" s="3"/>
      <c r="R5" s="3"/>
      <c r="S5" s="3"/>
      <c r="T5" s="3" t="str">
        <f ca="1">IFERROR(__xludf.DUMMYFUNCTION("""COMPUTED_VALUE"""),"Truman Primary")</f>
        <v>Truman Primary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IFERROR(__xludf.DUMMYFUNCTION("""COMPUTED_VALUE"""),45565.3779275462)</f>
        <v>45565.3779275462</v>
      </c>
      <c r="B6" s="3" t="str">
        <f ca="1">IFERROR(__xludf.DUMMYFUNCTION("""COMPUTED_VALUE"""),"lcollings@normanps.org")</f>
        <v>lcollings@normanps.org</v>
      </c>
      <c r="C6" s="3"/>
      <c r="D6" s="3">
        <f ca="1">IFERROR(__xludf.DUMMYFUNCTION("""COMPUTED_VALUE"""),4)</f>
        <v>4</v>
      </c>
      <c r="E6" s="3"/>
      <c r="F6" s="6"/>
      <c r="G6" s="3"/>
      <c r="H6" s="3"/>
      <c r="I6" s="3" t="str">
        <f ca="1">IFERROR(__xludf.DUMMYFUNCTION("""COMPUTED_VALUE"""),"Include")</f>
        <v>Include</v>
      </c>
      <c r="J6" s="3" t="str">
        <f ca="1">IFERROR(__xludf.DUMMYFUNCTION("""COMPUTED_VALUE"""),"ELA")</f>
        <v>ELA</v>
      </c>
      <c r="K6" s="3" t="str">
        <f ca="1">IFERROR(__xludf.DUMMYFUNCTION("""COMPUTED_VALUE"""),"First")</f>
        <v>First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IFERROR(__xludf.DUMMYFUNCTION("""COMPUTED_VALUE"""),"Truman Primary")</f>
        <v>Truman Primary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IFERROR(__xludf.DUMMYFUNCTION("""COMPUTED_VALUE"""),45565.3790841666)</f>
        <v>45565.379084166598</v>
      </c>
      <c r="B7" s="3" t="str">
        <f ca="1">IFERROR(__xludf.DUMMYFUNCTION("""COMPUTED_VALUE"""),"lcollings@normanps.org")</f>
        <v>lcollings@normanps.org</v>
      </c>
      <c r="C7" s="3"/>
      <c r="D7" s="3">
        <f ca="1">IFERROR(__xludf.DUMMYFUNCTION("""COMPUTED_VALUE"""),1)</f>
        <v>1</v>
      </c>
      <c r="E7" s="3"/>
      <c r="F7" s="6"/>
      <c r="G7" s="3"/>
      <c r="H7" s="3"/>
      <c r="I7" s="3" t="str">
        <f ca="1">IFERROR(__xludf.DUMMYFUNCTION("""COMPUTED_VALUE"""),"Curate")</f>
        <v>Curate</v>
      </c>
      <c r="J7" s="3" t="str">
        <f ca="1">IFERROR(__xludf.DUMMYFUNCTION("""COMPUTED_VALUE"""),"Science")</f>
        <v>Science</v>
      </c>
      <c r="K7" s="3" t="str">
        <f ca="1">IFERROR(__xludf.DUMMYFUNCTION("""COMPUTED_VALUE"""),"Kindergarten")</f>
        <v>Kindergarten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IFERROR(__xludf.DUMMYFUNCTION("""COMPUTED_VALUE"""),"Truman Primary")</f>
        <v>Truman Primary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IFERROR(__xludf.DUMMYFUNCTION("""COMPUTED_VALUE"""),45565.3814584722)</f>
        <v>45565.381458472199</v>
      </c>
      <c r="B8" s="3" t="str">
        <f ca="1">IFERROR(__xludf.DUMMYFUNCTION("""COMPUTED_VALUE"""),"lcollings@normanps.org")</f>
        <v>lcollings@normanps.org</v>
      </c>
      <c r="C8" s="3"/>
      <c r="D8" s="3">
        <f ca="1">IFERROR(__xludf.DUMMYFUNCTION("""COMPUTED_VALUE"""),4)</f>
        <v>4</v>
      </c>
      <c r="E8" s="3"/>
      <c r="F8" s="6"/>
      <c r="G8" s="3"/>
      <c r="H8" s="3"/>
      <c r="I8" s="3" t="str">
        <f ca="1">IFERROR(__xludf.DUMMYFUNCTION("""COMPUTED_VALUE"""),"Include")</f>
        <v>Include</v>
      </c>
      <c r="J8" s="3" t="str">
        <f ca="1">IFERROR(__xludf.DUMMYFUNCTION("""COMPUTED_VALUE"""),"ELA")</f>
        <v>ELA</v>
      </c>
      <c r="K8" s="3" t="str">
        <f ca="1">IFERROR(__xludf.DUMMYFUNCTION("""COMPUTED_VALUE"""),"Prek")</f>
        <v>Prek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IFERROR(__xludf.DUMMYFUNCTION("""COMPUTED_VALUE"""),"Truman Primary")</f>
        <v>Truman Primary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IFERROR(__xludf.DUMMYFUNCTION("""COMPUTED_VALUE"""),45573.4190751273)</f>
        <v>45573.419075127298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IFERROR(__xludf.DUMMYFUNCTION("""COMPUTED_VALUE"""),2518)</f>
        <v>2518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IFERROR(__xludf.DUMMYFUNCTION("""COMPUTED_VALUE"""),0)</f>
        <v>0</v>
      </c>
      <c r="O9" s="3"/>
      <c r="P9" s="3"/>
      <c r="Q9" s="3"/>
      <c r="R9" s="3"/>
      <c r="S9" s="3"/>
      <c r="T9" s="3" t="str">
        <f ca="1">IFERROR(__xludf.DUMMYFUNCTION("""COMPUTED_VALUE"""),"Truman Primary")</f>
        <v>Truman Primary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IFERROR(__xludf.DUMMYFUNCTION("""COMPUTED_VALUE"""),45580.8966875347)</f>
        <v>45580.896687534703</v>
      </c>
      <c r="B10" s="3" t="str">
        <f ca="1">IFERROR(__xludf.DUMMYFUNCTION("""COMPUTED_VALUE"""),"lcollings@normanps.org")</f>
        <v>lcollings@normanps.org</v>
      </c>
      <c r="C10" s="3"/>
      <c r="D10" s="3">
        <f ca="1">IFERROR(__xludf.DUMMYFUNCTION("""COMPUTED_VALUE"""),8)</f>
        <v>8</v>
      </c>
      <c r="E10" s="3"/>
      <c r="F10" s="6"/>
      <c r="G10" s="3"/>
      <c r="H10" s="3"/>
      <c r="I10" s="3" t="str">
        <f ca="1">IFERROR(__xludf.DUMMYFUNCTION("""COMPUTED_VALUE"""),"Curate")</f>
        <v>Curate</v>
      </c>
      <c r="J10" s="3" t="str">
        <f ca="1">IFERROR(__xludf.DUMMYFUNCTION("""COMPUTED_VALUE"""),"ELA")</f>
        <v>ELA</v>
      </c>
      <c r="K10" s="3" t="str">
        <f ca="1">IFERROR(__xludf.DUMMYFUNCTION("""COMPUTED_VALUE"""),"Second")</f>
        <v>Second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IFERROR(__xludf.DUMMYFUNCTION("""COMPUTED_VALUE"""),"Truman Primary")</f>
        <v>Truman Primary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IFERROR(__xludf.DUMMYFUNCTION("""COMPUTED_VALUE"""),45580.8971540046)</f>
        <v>45580.897154004597</v>
      </c>
      <c r="B11" s="3" t="str">
        <f ca="1">IFERROR(__xludf.DUMMYFUNCTION("""COMPUTED_VALUE"""),"lcollings@normanps.org")</f>
        <v>lcollings@normanps.org</v>
      </c>
      <c r="C11" s="3"/>
      <c r="D11" s="3">
        <f ca="1">IFERROR(__xludf.DUMMYFUNCTION("""COMPUTED_VALUE"""),4)</f>
        <v>4</v>
      </c>
      <c r="E11" s="3"/>
      <c r="F11" s="6"/>
      <c r="G11" s="3"/>
      <c r="H11" s="3"/>
      <c r="I11" s="3" t="str">
        <f ca="1">IFERROR(__xludf.DUMMYFUNCTION("""COMPUTED_VALUE"""),"Curate")</f>
        <v>Curate</v>
      </c>
      <c r="J11" s="3" t="str">
        <f ca="1">IFERROR(__xludf.DUMMYFUNCTION("""COMPUTED_VALUE"""),"Science")</f>
        <v>Science</v>
      </c>
      <c r="K11" s="3" t="str">
        <f ca="1">IFERROR(__xludf.DUMMYFUNCTION("""COMPUTED_VALUE"""),"Second")</f>
        <v>Second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IFERROR(__xludf.DUMMYFUNCTION("""COMPUTED_VALUE"""),"Truman Primary")</f>
        <v>Truman Primary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IFERROR(__xludf.DUMMYFUNCTION("""COMPUTED_VALUE"""),45580.8988923379)</f>
        <v>45580.8988923379</v>
      </c>
      <c r="B12" s="3" t="str">
        <f ca="1">IFERROR(__xludf.DUMMYFUNCTION("""COMPUTED_VALUE"""),"lcollings@normanps.org")</f>
        <v>lcollings@normanps.org</v>
      </c>
      <c r="C12" s="3"/>
      <c r="D12" s="3"/>
      <c r="E12" s="3"/>
      <c r="F12" s="6"/>
      <c r="G12" s="3">
        <f ca="1">IFERROR(__xludf.DUMMYFUNCTION("""COMPUTED_VALUE"""),29.5)</f>
        <v>29.5</v>
      </c>
      <c r="H12" s="3">
        <f ca="1">IFERROR(__xludf.DUMMYFUNCTION("""COMPUTED_VALUE"""),4)</f>
        <v>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IFERROR(__xludf.DUMMYFUNCTION("""COMPUTED_VALUE"""),"Truman Primary")</f>
        <v>Truman Primary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IFERROR(__xludf.DUMMYFUNCTION("""COMPUTED_VALUE"""),45600.6567591782)</f>
        <v>45600.6567591782</v>
      </c>
      <c r="B13" s="3" t="str">
        <f ca="1">IFERROR(__xludf.DUMMYFUNCTION("""COMPUTED_VALUE"""),"lcollings@normanps.org")</f>
        <v>lcollings@normanps.org</v>
      </c>
      <c r="C13" s="3"/>
      <c r="D13" s="3"/>
      <c r="E13" s="3"/>
      <c r="F13" s="6">
        <f ca="1">IFERROR(__xludf.DUMMYFUNCTION("""COMPUTED_VALUE"""),883.68)</f>
        <v>883.68</v>
      </c>
      <c r="G13" s="3">
        <f ca="1">IFERROR(__xludf.DUMMYFUNCTION("""COMPUTED_VALUE"""),21.5)</f>
        <v>21.5</v>
      </c>
      <c r="H13" s="3">
        <f ca="1">IFERROR(__xludf.DUMMYFUNCTION("""COMPUTED_VALUE"""),2)</f>
        <v>2</v>
      </c>
      <c r="I13" s="3"/>
      <c r="J13" s="3"/>
      <c r="K13" s="3"/>
      <c r="L13" s="3" t="str">
        <f ca="1">IFERROR(__xludf.DUMMYFUNCTION("""COMPUTED_VALUE"""),"Zoob builder")</f>
        <v>Zoob builder</v>
      </c>
      <c r="M13" s="3"/>
      <c r="N13" s="3"/>
      <c r="O13" s="3"/>
      <c r="P13" s="3"/>
      <c r="Q13" s="3"/>
      <c r="R13" s="3" t="str">
        <f ca="1">IFERROR(__xludf.DUMMYFUNCTION("""COMPUTED_VALUE"""),"Book Fair")</f>
        <v>Book Fair</v>
      </c>
      <c r="S13" s="3">
        <f ca="1">IFERROR(__xludf.DUMMYFUNCTION("""COMPUTED_VALUE"""),4)</f>
        <v>4</v>
      </c>
      <c r="T13" s="3" t="str">
        <f ca="1">IFERROR(__xludf.DUMMYFUNCTION("""COMPUTED_VALUE"""),"Truman Primary")</f>
        <v>Truman Primary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IFERROR(__xludf.DUMMYFUNCTION("""COMPUTED_VALUE"""),45600.6584378819)</f>
        <v>45600.658437881903</v>
      </c>
      <c r="B14" s="3" t="str">
        <f ca="1">IFERROR(__xludf.DUMMYFUNCTION("""COMPUTED_VALUE"""),"lcollings@normanps.org")</f>
        <v>lcollings@normanps.org</v>
      </c>
      <c r="C14" s="3"/>
      <c r="D14" s="3">
        <f ca="1">IFERROR(__xludf.DUMMYFUNCTION("""COMPUTED_VALUE"""),1)</f>
        <v>1</v>
      </c>
      <c r="E14" s="3"/>
      <c r="F14" s="6"/>
      <c r="G14" s="3"/>
      <c r="H14" s="3"/>
      <c r="I14" s="3" t="str">
        <f ca="1">IFERROR(__xludf.DUMMYFUNCTION("""COMPUTED_VALUE"""),"Inquire")</f>
        <v>Inquire</v>
      </c>
      <c r="J14" s="3"/>
      <c r="K14" s="3" t="str">
        <f ca="1">IFERROR(__xludf.DUMMYFUNCTION("""COMPUTED_VALUE"""),"Autism/SPED multi-level elementary")</f>
        <v>Autism/SPED multi-level elementary</v>
      </c>
      <c r="L14" s="3"/>
      <c r="M14" s="3"/>
      <c r="N14" s="3"/>
      <c r="O14" s="3"/>
      <c r="P14" s="3" t="str">
        <f ca="1">IFERROR(__xludf.DUMMYFUNCTION("""COMPUTED_VALUE"""),"Pioneer Library")</f>
        <v>Pioneer Library</v>
      </c>
      <c r="Q14" s="3"/>
      <c r="R14" s="3" t="str">
        <f ca="1">IFERROR(__xludf.DUMMYFUNCTION("""COMPUTED_VALUE"""),"Sensory Storytime")</f>
        <v>Sensory Storytime</v>
      </c>
      <c r="S14" s="3"/>
      <c r="T14" s="3" t="str">
        <f ca="1">IFERROR(__xludf.DUMMYFUNCTION("""COMPUTED_VALUE"""),"Truman Primary")</f>
        <v>Truman Primary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IFERROR(__xludf.DUMMYFUNCTION("""COMPUTED_VALUE"""),45600.6644568287)</f>
        <v>45600.664456828701</v>
      </c>
      <c r="B15" s="3" t="str">
        <f ca="1">IFERROR(__xludf.DUMMYFUNCTION("""COMPUTED_VALUE"""),"lcollings@normanps.org")</f>
        <v>lcollings@normanps.org</v>
      </c>
      <c r="C15" s="3"/>
      <c r="D15" s="3">
        <f ca="1">IFERROR(__xludf.DUMMYFUNCTION("""COMPUTED_VALUE"""),3)</f>
        <v>3</v>
      </c>
      <c r="E15" s="3"/>
      <c r="F15" s="6"/>
      <c r="G15" s="3"/>
      <c r="H15" s="3"/>
      <c r="I15" s="3" t="str">
        <f ca="1">IFERROR(__xludf.DUMMYFUNCTION("""COMPUTED_VALUE"""),"Curate")</f>
        <v>Curate</v>
      </c>
      <c r="J15" s="3" t="str">
        <f ca="1">IFERROR(__xludf.DUMMYFUNCTION("""COMPUTED_VALUE"""),"Science")</f>
        <v>Science</v>
      </c>
      <c r="K15" s="3" t="str">
        <f ca="1">IFERROR(__xludf.DUMMYFUNCTION("""COMPUTED_VALUE"""),"Second")</f>
        <v>Second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IFERROR(__xludf.DUMMYFUNCTION("""COMPUTED_VALUE"""),"Truman Primary")</f>
        <v>Truman Primary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IFERROR(__xludf.DUMMYFUNCTION("""COMPUTED_VALUE"""),45600.6656043865)</f>
        <v>45600.6656043865</v>
      </c>
      <c r="B16" s="3" t="str">
        <f ca="1">IFERROR(__xludf.DUMMYFUNCTION("""COMPUTED_VALUE"""),"lcollings@normanps.org")</f>
        <v>lcollings@normanps.org</v>
      </c>
      <c r="C16" s="3"/>
      <c r="D16" s="3">
        <f ca="1">IFERROR(__xludf.DUMMYFUNCTION("""COMPUTED_VALUE"""),3)</f>
        <v>3</v>
      </c>
      <c r="E16" s="3"/>
      <c r="F16" s="6"/>
      <c r="G16" s="3"/>
      <c r="H16" s="3"/>
      <c r="I16" s="3" t="str">
        <f ca="1">IFERROR(__xludf.DUMMYFUNCTION("""COMPUTED_VALUE"""),"Include")</f>
        <v>Include</v>
      </c>
      <c r="J16" s="3" t="str">
        <f ca="1">IFERROR(__xludf.DUMMYFUNCTION("""COMPUTED_VALUE"""),"ELA")</f>
        <v>ELA</v>
      </c>
      <c r="K16" s="3" t="str">
        <f ca="1">IFERROR(__xludf.DUMMYFUNCTION("""COMPUTED_VALUE"""),"First")</f>
        <v>First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IFERROR(__xludf.DUMMYFUNCTION("""COMPUTED_VALUE"""),"Truman Primary")</f>
        <v>Truman Primary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IFERROR(__xludf.DUMMYFUNCTION("""COMPUTED_VALUE"""),45600.6660945601)</f>
        <v>45600.666094560103</v>
      </c>
      <c r="B17" s="3" t="str">
        <f ca="1">IFERROR(__xludf.DUMMYFUNCTION("""COMPUTED_VALUE"""),"lcollings@normanps.org")</f>
        <v>lcollings@normanps.org</v>
      </c>
      <c r="C17" s="3"/>
      <c r="D17" s="3">
        <f ca="1">IFERROR(__xludf.DUMMYFUNCTION("""COMPUTED_VALUE"""),2)</f>
        <v>2</v>
      </c>
      <c r="E17" s="3"/>
      <c r="F17" s="6"/>
      <c r="G17" s="3"/>
      <c r="H17" s="3"/>
      <c r="I17" s="3" t="str">
        <f ca="1">IFERROR(__xludf.DUMMYFUNCTION("""COMPUTED_VALUE"""),"Include")</f>
        <v>Include</v>
      </c>
      <c r="J17" s="3" t="str">
        <f ca="1">IFERROR(__xludf.DUMMYFUNCTION("""COMPUTED_VALUE"""),"ELA")</f>
        <v>ELA</v>
      </c>
      <c r="K17" s="3" t="str">
        <f ca="1">IFERROR(__xludf.DUMMYFUNCTION("""COMPUTED_VALUE"""),"Second")</f>
        <v>Second</v>
      </c>
      <c r="L17" s="3"/>
      <c r="M17" s="3"/>
      <c r="N17" s="3"/>
      <c r="O17" s="3"/>
      <c r="P17" s="3"/>
      <c r="Q17" s="3"/>
      <c r="R17" s="3" t="str">
        <f ca="1">IFERROR(__xludf.DUMMYFUNCTION("""COMPUTED_VALUE"""),"Global-Read Aloud")</f>
        <v>Global-Read Aloud</v>
      </c>
      <c r="S17" s="3"/>
      <c r="T17" s="3" t="str">
        <f ca="1">IFERROR(__xludf.DUMMYFUNCTION("""COMPUTED_VALUE"""),"Truman Primary")</f>
        <v>Truman Primary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IFERROR(__xludf.DUMMYFUNCTION("""COMPUTED_VALUE"""),45610.5378117708)</f>
        <v>45610.537811770802</v>
      </c>
      <c r="B18" s="3" t="str">
        <f ca="1">IFERROR(__xludf.DUMMYFUNCTION("""COMPUTED_VALUE"""),"lcollings@normanps.org")</f>
        <v>lcollings@normanps.org</v>
      </c>
      <c r="C18" s="3"/>
      <c r="D18" s="3"/>
      <c r="E18" s="3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 t="str">
        <f ca="1">IFERROR(__xludf.DUMMYFUNCTION("""COMPUTED_VALUE"""),"1st and 2nd grade book clubs")</f>
        <v>1st and 2nd grade book clubs</v>
      </c>
      <c r="S18" s="3"/>
      <c r="T18" s="3" t="str">
        <f ca="1">IFERROR(__xludf.DUMMYFUNCTION("""COMPUTED_VALUE"""),"Truman Primary")</f>
        <v>Truman Primary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IFERROR(__xludf.DUMMYFUNCTION("""COMPUTED_VALUE"""),45644.5404195601)</f>
        <v>45644.5404195601</v>
      </c>
      <c r="B19" s="3" t="str">
        <f ca="1">IFERROR(__xludf.DUMMYFUNCTION("""COMPUTED_VALUE"""),"sschrank@normanps.org")</f>
        <v>sschrank@normanps.org</v>
      </c>
      <c r="C19" s="3">
        <f ca="1">IFERROR(__xludf.DUMMYFUNCTION("""COMPUTED_VALUE"""),2902)</f>
        <v>2902</v>
      </c>
      <c r="D19" s="3"/>
      <c r="E19" s="3"/>
      <c r="F19" s="6"/>
      <c r="G19" s="3"/>
      <c r="H19" s="3"/>
      <c r="I19" s="3"/>
      <c r="J19" s="3"/>
      <c r="K19" s="3"/>
      <c r="L19" s="3"/>
      <c r="M19" s="3"/>
      <c r="N19" s="3">
        <f ca="1">IFERROR(__xludf.DUMMYFUNCTION("""COMPUTED_VALUE"""),1)</f>
        <v>1</v>
      </c>
      <c r="O19" s="3"/>
      <c r="P19" s="3"/>
      <c r="Q19" s="3"/>
      <c r="R19" s="3"/>
      <c r="S19" s="3"/>
      <c r="T19" s="3" t="str">
        <f ca="1">IFERROR(__xludf.DUMMYFUNCTION("""COMPUTED_VALUE"""),"Truman Primary")</f>
        <v>Truman Primary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IFERROR(__xludf.DUMMYFUNCTION("""COMPUTED_VALUE"""),45672.3412555787)</f>
        <v>45672.3412555787</v>
      </c>
      <c r="B20" s="3" t="str">
        <f ca="1">IFERROR(__xludf.DUMMYFUNCTION("""COMPUTED_VALUE"""),"sschrank@normanps.org")</f>
        <v>sschrank@normanps.org</v>
      </c>
      <c r="C20" s="3">
        <f ca="1">IFERROR(__xludf.DUMMYFUNCTION("""COMPUTED_VALUE"""),1171)</f>
        <v>1171</v>
      </c>
      <c r="D20" s="3"/>
      <c r="E20" s="3"/>
      <c r="F20" s="6"/>
      <c r="G20" s="3"/>
      <c r="H20" s="3"/>
      <c r="I20" s="3"/>
      <c r="J20" s="3"/>
      <c r="K20" s="3"/>
      <c r="L20" s="3"/>
      <c r="M20" s="3"/>
      <c r="N20" s="3">
        <f ca="1">IFERROR(__xludf.DUMMYFUNCTION("""COMPUTED_VALUE"""),0)</f>
        <v>0</v>
      </c>
      <c r="O20" s="3"/>
      <c r="P20" s="3"/>
      <c r="Q20" s="3"/>
      <c r="R20" s="3"/>
      <c r="S20" s="3"/>
      <c r="T20" s="3" t="str">
        <f ca="1">IFERROR(__xludf.DUMMYFUNCTION("""COMPUTED_VALUE"""),"Truman Primary")</f>
        <v>Truman Primary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IFERROR(__xludf.DUMMYFUNCTION("""COMPUTED_VALUE"""),45693.4844112037)</f>
        <v>45693.484411203703</v>
      </c>
      <c r="B21" s="3" t="str">
        <f ca="1">IFERROR(__xludf.DUMMYFUNCTION("""COMPUTED_VALUE"""),"sschrank@normanps.org")</f>
        <v>sschrank@normanps.org</v>
      </c>
      <c r="C21" s="3">
        <f ca="1">IFERROR(__xludf.DUMMYFUNCTION("""COMPUTED_VALUE"""),1369)</f>
        <v>1369</v>
      </c>
      <c r="D21" s="3"/>
      <c r="E21" s="3"/>
      <c r="F21" s="6"/>
      <c r="G21" s="3"/>
      <c r="H21" s="3"/>
      <c r="I21" s="3"/>
      <c r="J21" s="3"/>
      <c r="K21" s="3"/>
      <c r="L21" s="3"/>
      <c r="M21" s="3"/>
      <c r="N21" s="3">
        <f ca="1">IFERROR(__xludf.DUMMYFUNCTION("""COMPUTED_VALUE"""),2)</f>
        <v>2</v>
      </c>
      <c r="O21" s="3"/>
      <c r="P21" s="3"/>
      <c r="Q21" s="3"/>
      <c r="R21" s="3"/>
      <c r="S21" s="3"/>
      <c r="T21" s="3" t="str">
        <f ca="1">IFERROR(__xludf.DUMMYFUNCTION("""COMPUTED_VALUE"""),"Truman Primary")</f>
        <v>Truman Primary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IFERROR(__xludf.DUMMYFUNCTION("""COMPUTED_VALUE"""),45699.6703758564)</f>
        <v>45699.670375856404</v>
      </c>
      <c r="B22" s="3" t="str">
        <f ca="1">IFERROR(__xludf.DUMMYFUNCTION("""COMPUTED_VALUE"""),"lcollings@normanps.org")</f>
        <v>lcollings@normanps.org</v>
      </c>
      <c r="C22" s="3"/>
      <c r="D22" s="3">
        <f ca="1">IFERROR(__xludf.DUMMYFUNCTION("""COMPUTED_VALUE"""),5)</f>
        <v>5</v>
      </c>
      <c r="E22" s="3"/>
      <c r="F22" s="6"/>
      <c r="G22" s="3"/>
      <c r="H22" s="3"/>
      <c r="I22" s="3" t="str">
        <f ca="1">IFERROR(__xludf.DUMMYFUNCTION("""COMPUTED_VALUE"""),"Explore")</f>
        <v>Explore</v>
      </c>
      <c r="J22" s="3" t="str">
        <f ca="1">IFERROR(__xludf.DUMMYFUNCTION("""COMPUTED_VALUE"""),"ELA")</f>
        <v>ELA</v>
      </c>
      <c r="K22" s="3" t="str">
        <f ca="1">IFERROR(__xludf.DUMMYFUNCTION("""COMPUTED_VALUE"""),"First")</f>
        <v>First</v>
      </c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IFERROR(__xludf.DUMMYFUNCTION("""COMPUTED_VALUE"""),"Truman Primary")</f>
        <v>Truman Primary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IFERROR(__xludf.DUMMYFUNCTION("""COMPUTED_VALUE"""),45699.6711650694)</f>
        <v>45699.671165069398</v>
      </c>
      <c r="B23" s="3" t="str">
        <f ca="1">IFERROR(__xludf.DUMMYFUNCTION("""COMPUTED_VALUE"""),"lcollings@normanps.org")</f>
        <v>lcollings@normanps.org</v>
      </c>
      <c r="C23" s="3"/>
      <c r="D23" s="3">
        <f ca="1">IFERROR(__xludf.DUMMYFUNCTION("""COMPUTED_VALUE"""),3)</f>
        <v>3</v>
      </c>
      <c r="E23" s="3"/>
      <c r="F23" s="6"/>
      <c r="G23" s="3"/>
      <c r="H23" s="3"/>
      <c r="I23" s="3" t="str">
        <f ca="1">IFERROR(__xludf.DUMMYFUNCTION("""COMPUTED_VALUE"""),"Include")</f>
        <v>Include</v>
      </c>
      <c r="J23" s="3" t="str">
        <f ca="1">IFERROR(__xludf.DUMMYFUNCTION("""COMPUTED_VALUE"""),"ELA")</f>
        <v>ELA</v>
      </c>
      <c r="K23" s="3" t="str">
        <f ca="1">IFERROR(__xludf.DUMMYFUNCTION("""COMPUTED_VALUE"""),"Second")</f>
        <v>Second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IFERROR(__xludf.DUMMYFUNCTION("""COMPUTED_VALUE"""),"Truman Primary")</f>
        <v>Truman Primary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IFERROR(__xludf.DUMMYFUNCTION("""COMPUTED_VALUE"""),45699.6715928935)</f>
        <v>45699.671592893501</v>
      </c>
      <c r="B24" s="3" t="str">
        <f ca="1">IFERROR(__xludf.DUMMYFUNCTION("""COMPUTED_VALUE"""),"lcollings@normanps.org")</f>
        <v>lcollings@normanps.org</v>
      </c>
      <c r="C24" s="3"/>
      <c r="D24" s="3">
        <f ca="1">IFERROR(__xludf.DUMMYFUNCTION("""COMPUTED_VALUE"""),2)</f>
        <v>2</v>
      </c>
      <c r="E24" s="3"/>
      <c r="F24" s="6"/>
      <c r="G24" s="3"/>
      <c r="H24" s="3"/>
      <c r="I24" s="3" t="str">
        <f ca="1">IFERROR(__xludf.DUMMYFUNCTION("""COMPUTED_VALUE"""),"Include")</f>
        <v>Include</v>
      </c>
      <c r="J24" s="3" t="str">
        <f ca="1">IFERROR(__xludf.DUMMYFUNCTION("""COMPUTED_VALUE"""),"ELA")</f>
        <v>ELA</v>
      </c>
      <c r="K24" s="3" t="str">
        <f ca="1">IFERROR(__xludf.DUMMYFUNCTION("""COMPUTED_VALUE"""),"Second")</f>
        <v>Second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IFERROR(__xludf.DUMMYFUNCTION("""COMPUTED_VALUE"""),"Truman Primary")</f>
        <v>Truman Primary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IFERROR(__xludf.DUMMYFUNCTION("""COMPUTED_VALUE"""),45699.6721111226)</f>
        <v>45699.6721111226</v>
      </c>
      <c r="B25" s="3" t="str">
        <f ca="1">IFERROR(__xludf.DUMMYFUNCTION("""COMPUTED_VALUE"""),"lcollings@normanps.org")</f>
        <v>lcollings@normanps.org</v>
      </c>
      <c r="C25" s="3"/>
      <c r="D25" s="3">
        <f ca="1">IFERROR(__xludf.DUMMYFUNCTION("""COMPUTED_VALUE"""),5)</f>
        <v>5</v>
      </c>
      <c r="E25" s="3"/>
      <c r="F25" s="6"/>
      <c r="G25" s="3"/>
      <c r="H25" s="3"/>
      <c r="I25" s="3"/>
      <c r="J25" s="3" t="str">
        <f ca="1">IFERROR(__xludf.DUMMYFUNCTION("""COMPUTED_VALUE"""),"Social Studies")</f>
        <v>Social Studies</v>
      </c>
      <c r="K25" s="3" t="str">
        <f ca="1">IFERROR(__xludf.DUMMYFUNCTION("""COMPUTED_VALUE"""),"Second")</f>
        <v>Second</v>
      </c>
      <c r="L25" s="3"/>
      <c r="M25" s="3"/>
      <c r="N25" s="3"/>
      <c r="O25" s="3"/>
      <c r="P25" s="3"/>
      <c r="Q25" s="3"/>
      <c r="R25" s="3"/>
      <c r="S25" s="3"/>
      <c r="T25" s="3" t="str">
        <f ca="1">IFERROR(__xludf.DUMMYFUNCTION("""COMPUTED_VALUE"""),"Truman Primary")</f>
        <v>Truman Primary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IFERROR(__xludf.DUMMYFUNCTION("""COMPUTED_VALUE"""),45699.6739907523)</f>
        <v>45699.673990752301</v>
      </c>
      <c r="B26" s="3" t="str">
        <f ca="1">IFERROR(__xludf.DUMMYFUNCTION("""COMPUTED_VALUE"""),"lcollings@normanps.org")</f>
        <v>lcollings@normanps.org</v>
      </c>
      <c r="C26" s="3"/>
      <c r="D26" s="3">
        <f ca="1">IFERROR(__xludf.DUMMYFUNCTION("""COMPUTED_VALUE"""),1)</f>
        <v>1</v>
      </c>
      <c r="E26" s="3"/>
      <c r="F26" s="6"/>
      <c r="G26" s="3"/>
      <c r="H26" s="3"/>
      <c r="I26" s="3" t="str">
        <f ca="1">IFERROR(__xludf.DUMMYFUNCTION("""COMPUTED_VALUE"""),"Include")</f>
        <v>Include</v>
      </c>
      <c r="J26" s="3" t="str">
        <f ca="1">IFERROR(__xludf.DUMMYFUNCTION("""COMPUTED_VALUE"""),"ELA")</f>
        <v>ELA</v>
      </c>
      <c r="K26" s="3" t="str">
        <f ca="1">IFERROR(__xludf.DUMMYFUNCTION("""COMPUTED_VALUE"""),"Elementary multi-grade class")</f>
        <v>Elementary multi-grade class</v>
      </c>
      <c r="L26" s="3"/>
      <c r="M26" s="3"/>
      <c r="N26" s="3"/>
      <c r="O26" s="3"/>
      <c r="P26" s="3" t="str">
        <f ca="1">IFERROR(__xludf.DUMMYFUNCTION("""COMPUTED_VALUE"""),"Pioneer Library")</f>
        <v>Pioneer Library</v>
      </c>
      <c r="Q26" s="3"/>
      <c r="R26" s="3" t="str">
        <f ca="1">IFERROR(__xludf.DUMMYFUNCTION("""COMPUTED_VALUE"""),"Sensory Storytime")</f>
        <v>Sensory Storytime</v>
      </c>
      <c r="S26" s="3"/>
      <c r="T26" s="3" t="str">
        <f ca="1">IFERROR(__xludf.DUMMYFUNCTION("""COMPUTED_VALUE"""),"Truman Primary")</f>
        <v>Truman Primary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IFERROR(__xludf.DUMMYFUNCTION("""COMPUTED_VALUE"""),45699.6750803588)</f>
        <v>45699.6750803588</v>
      </c>
      <c r="B27" s="3" t="str">
        <f ca="1">IFERROR(__xludf.DUMMYFUNCTION("""COMPUTED_VALUE"""),"lcollings@normanps.org")</f>
        <v>lcollings@normanps.org</v>
      </c>
      <c r="C27" s="3"/>
      <c r="D27" s="3">
        <f ca="1">IFERROR(__xludf.DUMMYFUNCTION("""COMPUTED_VALUE"""),5)</f>
        <v>5</v>
      </c>
      <c r="E27" s="3"/>
      <c r="F27" s="6"/>
      <c r="G27" s="3"/>
      <c r="H27" s="3"/>
      <c r="I27" s="3" t="str">
        <f ca="1">IFERROR(__xludf.DUMMYFUNCTION("""COMPUTED_VALUE"""),"Include")</f>
        <v>Include</v>
      </c>
      <c r="J27" s="3" t="str">
        <f ca="1">IFERROR(__xludf.DUMMYFUNCTION("""COMPUTED_VALUE"""),"ELA")</f>
        <v>ELA</v>
      </c>
      <c r="K27" s="3" t="str">
        <f ca="1">IFERROR(__xludf.DUMMYFUNCTION("""COMPUTED_VALUE"""),"Second")</f>
        <v>Second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IFERROR(__xludf.DUMMYFUNCTION("""COMPUTED_VALUE"""),"Truman Primary")</f>
        <v>Truman Primary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IFERROR(__xludf.DUMMYFUNCTION("""COMPUTED_VALUE"""),45699.6770052083)</f>
        <v>45699.677005208301</v>
      </c>
      <c r="B28" s="3" t="str">
        <f ca="1">IFERROR(__xludf.DUMMYFUNCTION("""COMPUTED_VALUE"""),"lcollings@normanps.org")</f>
        <v>lcollings@normanps.org</v>
      </c>
      <c r="C28" s="3"/>
      <c r="D28" s="3">
        <f ca="1">IFERROR(__xludf.DUMMYFUNCTION("""COMPUTED_VALUE"""),5)</f>
        <v>5</v>
      </c>
      <c r="E28" s="3"/>
      <c r="F28" s="6"/>
      <c r="G28" s="3"/>
      <c r="H28" s="3"/>
      <c r="I28" s="3" t="str">
        <f ca="1">IFERROR(__xludf.DUMMYFUNCTION("""COMPUTED_VALUE"""),"Curate")</f>
        <v>Curate</v>
      </c>
      <c r="J28" s="3" t="str">
        <f ca="1">IFERROR(__xludf.DUMMYFUNCTION("""COMPUTED_VALUE"""),"ELA")</f>
        <v>ELA</v>
      </c>
      <c r="K28" s="3" t="str">
        <f ca="1">IFERROR(__xludf.DUMMYFUNCTION("""COMPUTED_VALUE"""),"First")</f>
        <v>First</v>
      </c>
      <c r="L28" s="3"/>
      <c r="M28" s="3"/>
      <c r="N28" s="3"/>
      <c r="O28" s="3"/>
      <c r="P28" s="3"/>
      <c r="Q28" s="3"/>
      <c r="R28" s="3"/>
      <c r="S28" s="3"/>
      <c r="T28" s="3" t="str">
        <f ca="1">IFERROR(__xludf.DUMMYFUNCTION("""COMPUTED_VALUE"""),"Truman Primary")</f>
        <v>Truman Primary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IFERROR(__xludf.DUMMYFUNCTION("""COMPUTED_VALUE"""),45699.6791608101)</f>
        <v>45699.679160810098</v>
      </c>
      <c r="B29" s="3" t="str">
        <f ca="1">IFERROR(__xludf.DUMMYFUNCTION("""COMPUTED_VALUE"""),"lcollings@normanps.org")</f>
        <v>lcollings@normanps.org</v>
      </c>
      <c r="C29" s="3"/>
      <c r="D29" s="3">
        <f ca="1">IFERROR(__xludf.DUMMYFUNCTION("""COMPUTED_VALUE"""),17)</f>
        <v>17</v>
      </c>
      <c r="E29" s="3"/>
      <c r="F29" s="6"/>
      <c r="G29" s="3"/>
      <c r="H29" s="3"/>
      <c r="I29" s="3" t="str">
        <f ca="1">IFERROR(__xludf.DUMMYFUNCTION("""COMPUTED_VALUE"""),"Collaborate")</f>
        <v>Collaborate</v>
      </c>
      <c r="J29" s="3" t="str">
        <f ca="1">IFERROR(__xludf.DUMMYFUNCTION("""COMPUTED_VALUE"""),"Art")</f>
        <v>Art</v>
      </c>
      <c r="K29" s="3" t="str">
        <f ca="1">IFERROR(__xludf.DUMMYFUNCTION("""COMPUTED_VALUE"""),"Prek")</f>
        <v>Prek</v>
      </c>
      <c r="L29" s="3"/>
      <c r="M29" s="3"/>
      <c r="N29" s="3"/>
      <c r="O29" s="3"/>
      <c r="P29" s="3"/>
      <c r="Q29" s="3"/>
      <c r="R29" s="3" t="str">
        <f ca="1">IFERROR(__xludf.DUMMYFUNCTION("""COMPUTED_VALUE"""),"Kindness Week Service Project School-Wide Art")</f>
        <v>Kindness Week Service Project School-Wide Art</v>
      </c>
      <c r="S29" s="3"/>
      <c r="T29" s="3" t="str">
        <f ca="1">IFERROR(__xludf.DUMMYFUNCTION("""COMPUTED_VALUE"""),"Truman Primary")</f>
        <v>Truman Primary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IFERROR(__xludf.DUMMYFUNCTION("""COMPUTED_VALUE"""),45699.6810330902)</f>
        <v>45699.681033090201</v>
      </c>
      <c r="B30" s="3" t="str">
        <f ca="1">IFERROR(__xludf.DUMMYFUNCTION("""COMPUTED_VALUE"""),"lcollings@normanps.org")</f>
        <v>lcollings@normanps.org</v>
      </c>
      <c r="C30" s="3"/>
      <c r="D30" s="3">
        <f ca="1">IFERROR(__xludf.DUMMYFUNCTION("""COMPUTED_VALUE"""),4)</f>
        <v>4</v>
      </c>
      <c r="E30" s="3"/>
      <c r="F30" s="6"/>
      <c r="G30" s="3"/>
      <c r="H30" s="3"/>
      <c r="I30" s="3"/>
      <c r="J30" s="3" t="str">
        <f ca="1">IFERROR(__xludf.DUMMYFUNCTION("""COMPUTED_VALUE"""),"ELA")</f>
        <v>ELA</v>
      </c>
      <c r="K30" s="3" t="str">
        <f ca="1">IFERROR(__xludf.DUMMYFUNCTION("""COMPUTED_VALUE"""),"Kindergarten")</f>
        <v>Kindergarten</v>
      </c>
      <c r="L30" s="3"/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IFERROR(__xludf.DUMMYFUNCTION("""COMPUTED_VALUE"""),"Truman Primary")</f>
        <v>Truman Primary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IFERROR(__xludf.DUMMYFUNCTION("""COMPUTED_VALUE"""),45699.6824493287)</f>
        <v>45699.682449328699</v>
      </c>
      <c r="B31" s="3" t="str">
        <f ca="1">IFERROR(__xludf.DUMMYFUNCTION("""COMPUTED_VALUE"""),"lcollings@normanps.org")</f>
        <v>lcollings@normanps.org</v>
      </c>
      <c r="C31" s="3"/>
      <c r="D31" s="3"/>
      <c r="E31" s="3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 t="str">
        <f ca="1">IFERROR(__xludf.DUMMYFUNCTION("""COMPUTED_VALUE"""),"12 Days of Books")</f>
        <v>12 Days of Books</v>
      </c>
      <c r="S31" s="3"/>
      <c r="T31" s="3" t="str">
        <f ca="1">IFERROR(__xludf.DUMMYFUNCTION("""COMPUTED_VALUE"""),"Truman Primary")</f>
        <v>Truman Primary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IFERROR(__xludf.DUMMYFUNCTION("""COMPUTED_VALUE"""),45699.683415162)</f>
        <v>45699.683415161999</v>
      </c>
      <c r="B32" s="3" t="str">
        <f ca="1">IFERROR(__xludf.DUMMYFUNCTION("""COMPUTED_VALUE"""),"lcollings@normanps.org")</f>
        <v>lcollings@normanps.org</v>
      </c>
      <c r="C32" s="3"/>
      <c r="D32" s="3">
        <f ca="1">IFERROR(__xludf.DUMMYFUNCTION("""COMPUTED_VALUE"""),5)</f>
        <v>5</v>
      </c>
      <c r="E32" s="3"/>
      <c r="F32" s="6"/>
      <c r="G32" s="3"/>
      <c r="H32" s="3"/>
      <c r="I32" s="3" t="str">
        <f ca="1">IFERROR(__xludf.DUMMYFUNCTION("""COMPUTED_VALUE"""),"Curate")</f>
        <v>Curate</v>
      </c>
      <c r="J32" s="3" t="str">
        <f ca="1">IFERROR(__xludf.DUMMYFUNCTION("""COMPUTED_VALUE"""),"ELA")</f>
        <v>ELA</v>
      </c>
      <c r="K32" s="3" t="str">
        <f ca="1">IFERROR(__xludf.DUMMYFUNCTION("""COMPUTED_VALUE"""),"First")</f>
        <v>First</v>
      </c>
      <c r="L32" s="3"/>
      <c r="M32" s="3"/>
      <c r="N32" s="3"/>
      <c r="O32" s="3"/>
      <c r="P32" s="3" t="str">
        <f ca="1">IFERROR(__xludf.DUMMYFUNCTION("""COMPUTED_VALUE"""),"Pioneer Library")</f>
        <v>Pioneer Library</v>
      </c>
      <c r="Q32" s="3"/>
      <c r="R32" s="3" t="str">
        <f ca="1">IFERROR(__xludf.DUMMYFUNCTION("""COMPUTED_VALUE"""),"Picture Book Party")</f>
        <v>Picture Book Party</v>
      </c>
      <c r="S32" s="3"/>
      <c r="T32" s="3" t="str">
        <f ca="1">IFERROR(__xludf.DUMMYFUNCTION("""COMPUTED_VALUE"""),"Truman Primary")</f>
        <v>Truman Primary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IFERROR(__xludf.DUMMYFUNCTION("""COMPUTED_VALUE"""),45699.6839034722)</f>
        <v>45699.6839034722</v>
      </c>
      <c r="B33" s="3" t="str">
        <f ca="1">IFERROR(__xludf.DUMMYFUNCTION("""COMPUTED_VALUE"""),"lcollings@normanps.org")</f>
        <v>lcollings@normanps.org</v>
      </c>
      <c r="C33" s="3"/>
      <c r="D33" s="3"/>
      <c r="E33" s="3"/>
      <c r="F33" s="6"/>
      <c r="G33" s="3"/>
      <c r="H33" s="3">
        <f ca="1">IFERROR(__xludf.DUMMYFUNCTION("""COMPUTED_VALUE"""),5)</f>
        <v>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tr">
        <f ca="1">IFERROR(__xludf.DUMMYFUNCTION("""COMPUTED_VALUE"""),"Truman Primary")</f>
        <v>Truman Primary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IFERROR(__xludf.DUMMYFUNCTION("""COMPUTED_VALUE"""),45699.6859042708)</f>
        <v>45699.685904270802</v>
      </c>
      <c r="B34" s="3" t="str">
        <f ca="1">IFERROR(__xludf.DUMMYFUNCTION("""COMPUTED_VALUE"""),"lcollings@normanps.org")</f>
        <v>lcollings@normanps.org</v>
      </c>
      <c r="C34" s="3"/>
      <c r="D34" s="3"/>
      <c r="E34" s="3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 t="str">
        <f ca="1">IFERROR(__xludf.DUMMYFUNCTION("""COMPUTED_VALUE"""),"Recess Clubs--Coding Club")</f>
        <v>Recess Clubs--Coding Club</v>
      </c>
      <c r="S34" s="3"/>
      <c r="T34" s="3" t="str">
        <f ca="1">IFERROR(__xludf.DUMMYFUNCTION("""COMPUTED_VALUE"""),"Truman Primary")</f>
        <v>Truman Primary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IFERROR(__xludf.DUMMYFUNCTION("""COMPUTED_VALUE"""),45699.6872936458)</f>
        <v>45699.687293645802</v>
      </c>
      <c r="B35" s="3" t="str">
        <f ca="1">IFERROR(__xludf.DUMMYFUNCTION("""COMPUTED_VALUE"""),"lcollings@normanps.org")</f>
        <v>lcollings@normanps.org</v>
      </c>
      <c r="C35" s="3"/>
      <c r="D35" s="3"/>
      <c r="E35" s="3"/>
      <c r="F35" s="6"/>
      <c r="G35" s="3">
        <f ca="1">IFERROR(__xludf.DUMMYFUNCTION("""COMPUTED_VALUE"""),212)</f>
        <v>212</v>
      </c>
      <c r="H35" s="3"/>
      <c r="I35" s="3"/>
      <c r="J35" s="3"/>
      <c r="K35" s="3"/>
      <c r="L35" s="3" t="str">
        <f ca="1">IFERROR(__xludf.DUMMYFUNCTION("""COMPUTED_VALUE"""),"Osmo Pizza Co.")</f>
        <v>Osmo Pizza Co.</v>
      </c>
      <c r="M35" s="3"/>
      <c r="N35" s="3"/>
      <c r="O35" s="3"/>
      <c r="P35" s="3"/>
      <c r="Q35" s="3"/>
      <c r="R35" s="3"/>
      <c r="S35" s="3"/>
      <c r="T35" s="3" t="str">
        <f ca="1">IFERROR(__xludf.DUMMYFUNCTION("""COMPUTED_VALUE"""),"Truman Primary")</f>
        <v>Truman Primary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IFERROR(__xludf.DUMMYFUNCTION("""COMPUTED_VALUE"""),45699.6878425694)</f>
        <v>45699.687842569401</v>
      </c>
      <c r="B36" s="3" t="str">
        <f ca="1">IFERROR(__xludf.DUMMYFUNCTION("""COMPUTED_VALUE"""),"lcollings@normanps.org")</f>
        <v>lcollings@normanps.org</v>
      </c>
      <c r="C36" s="3"/>
      <c r="D36" s="3"/>
      <c r="E36" s="3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f ca="1">IFERROR(__xludf.DUMMYFUNCTION("""COMPUTED_VALUE"""),4)</f>
        <v>4</v>
      </c>
      <c r="T36" s="3" t="str">
        <f ca="1">IFERROR(__xludf.DUMMYFUNCTION("""COMPUTED_VALUE"""),"Truman Primary")</f>
        <v>Truman Primary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IFERROR(__xludf.DUMMYFUNCTION("""COMPUTED_VALUE"""),45762.639951956)</f>
        <v>45762.639951956</v>
      </c>
      <c r="B37" s="3" t="str">
        <f ca="1">IFERROR(__xludf.DUMMYFUNCTION("""COMPUTED_VALUE"""),"lcollings@normanps.org")</f>
        <v>lcollings@normanps.org</v>
      </c>
      <c r="C37" s="3"/>
      <c r="D37" s="3"/>
      <c r="E37" s="3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 t="str">
        <f ca="1">IFERROR(__xludf.DUMMYFUNCTION("""COMPUTED_VALUE"""),"Winter Reading Challenge Bingo PK-2nd")</f>
        <v>Winter Reading Challenge Bingo PK-2nd</v>
      </c>
      <c r="S37" s="3"/>
      <c r="T37" s="3" t="str">
        <f ca="1">IFERROR(__xludf.DUMMYFUNCTION("""COMPUTED_VALUE"""),"Truman Primary")</f>
        <v>Truman Primary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IFERROR(__xludf.DUMMYFUNCTION("""COMPUTED_VALUE"""),45765.5456213657)</f>
        <v>45765.545621365702</v>
      </c>
      <c r="B38" s="3" t="str">
        <f ca="1">IFERROR(__xludf.DUMMYFUNCTION("""COMPUTED_VALUE"""),"lcollings@normanps.org")</f>
        <v>lcollings@normanps.org</v>
      </c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 t="str">
        <f ca="1">IFERROR(__xludf.DUMMYFUNCTION("""COMPUTED_VALUE"""),"Family Engagement Night- The Great Mathemachicken book")</f>
        <v>Family Engagement Night- The Great Mathemachicken book</v>
      </c>
      <c r="S38" s="3"/>
      <c r="T38" s="3" t="str">
        <f ca="1">IFERROR(__xludf.DUMMYFUNCTION("""COMPUTED_VALUE"""),"Truman Primary")</f>
        <v>Truman Primary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IFERROR(__xludf.DUMMYFUNCTION("""COMPUTED_VALUE"""),45765.5466819676)</f>
        <v>45765.5466819676</v>
      </c>
      <c r="B39" s="3" t="str">
        <f ca="1">IFERROR(__xludf.DUMMYFUNCTION("""COMPUTED_VALUE"""),"lcollings@normanps.org")</f>
        <v>lcollings@normanps.org</v>
      </c>
      <c r="C39" s="3"/>
      <c r="D39" s="3">
        <f ca="1">IFERROR(__xludf.DUMMYFUNCTION("""COMPUTED_VALUE"""),5)</f>
        <v>5</v>
      </c>
      <c r="E39" s="3"/>
      <c r="F39" s="6"/>
      <c r="G39" s="3"/>
      <c r="H39" s="3"/>
      <c r="I39" s="3" t="str">
        <f ca="1">IFERROR(__xludf.DUMMYFUNCTION("""COMPUTED_VALUE"""),"Explore")</f>
        <v>Explore</v>
      </c>
      <c r="J39" s="3" t="str">
        <f ca="1">IFERROR(__xludf.DUMMYFUNCTION("""COMPUTED_VALUE"""),"Social Studies")</f>
        <v>Social Studies</v>
      </c>
      <c r="K39" s="3" t="str">
        <f ca="1">IFERROR(__xludf.DUMMYFUNCTION("""COMPUTED_VALUE"""),"Second")</f>
        <v>Second</v>
      </c>
      <c r="L39" s="3"/>
      <c r="M39" s="3"/>
      <c r="N39" s="3"/>
      <c r="O39" s="3"/>
      <c r="P39" s="3"/>
      <c r="Q39" s="3"/>
      <c r="R39" s="3" t="str">
        <f ca="1">IFERROR(__xludf.DUMMYFUNCTION("""COMPUTED_VALUE"""),"Big Map with GT")</f>
        <v>Big Map with GT</v>
      </c>
      <c r="S39" s="3"/>
      <c r="T39" s="3" t="str">
        <f ca="1">IFERROR(__xludf.DUMMYFUNCTION("""COMPUTED_VALUE"""),"Truman Primary")</f>
        <v>Truman Primary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IFERROR(__xludf.DUMMYFUNCTION("""COMPUTED_VALUE"""),45765.5475716666)</f>
        <v>45765.547571666597</v>
      </c>
      <c r="B40" s="3" t="str">
        <f ca="1">IFERROR(__xludf.DUMMYFUNCTION("""COMPUTED_VALUE"""),"lcollings@normanps.org")</f>
        <v>lcollings@normanps.org</v>
      </c>
      <c r="C40" s="3"/>
      <c r="D40" s="3">
        <f ca="1">IFERROR(__xludf.DUMMYFUNCTION("""COMPUTED_VALUE"""),5)</f>
        <v>5</v>
      </c>
      <c r="E40" s="3"/>
      <c r="F40" s="6"/>
      <c r="G40" s="3"/>
      <c r="H40" s="3"/>
      <c r="I40" s="3" t="str">
        <f ca="1">IFERROR(__xludf.DUMMYFUNCTION("""COMPUTED_VALUE"""),"Engage")</f>
        <v>Engage</v>
      </c>
      <c r="J40" s="3" t="str">
        <f ca="1">IFERROR(__xludf.DUMMYFUNCTION("""COMPUTED_VALUE"""),"Computer Science")</f>
        <v>Computer Science</v>
      </c>
      <c r="K40" s="3" t="str">
        <f ca="1">IFERROR(__xludf.DUMMYFUNCTION("""COMPUTED_VALUE"""),"First")</f>
        <v>First</v>
      </c>
      <c r="L40" s="3"/>
      <c r="M40" s="3"/>
      <c r="N40" s="3"/>
      <c r="O40" s="3"/>
      <c r="P40" s="3"/>
      <c r="Q40" s="3"/>
      <c r="R40" s="3"/>
      <c r="S40" s="3"/>
      <c r="T40" s="3" t="str">
        <f ca="1">IFERROR(__xludf.DUMMYFUNCTION("""COMPUTED_VALUE"""),"Truman Primary")</f>
        <v>Truman Primary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IFERROR(__xludf.DUMMYFUNCTION("""COMPUTED_VALUE"""),45765.5481205092)</f>
        <v>45765.5481205092</v>
      </c>
      <c r="B41" s="3" t="str">
        <f ca="1">IFERROR(__xludf.DUMMYFUNCTION("""COMPUTED_VALUE"""),"lcollings@normanps.org")</f>
        <v>lcollings@normanps.org</v>
      </c>
      <c r="C41" s="3"/>
      <c r="D41" s="3">
        <f ca="1">IFERROR(__xludf.DUMMYFUNCTION("""COMPUTED_VALUE"""),3)</f>
        <v>3</v>
      </c>
      <c r="E41" s="3"/>
      <c r="F41" s="6"/>
      <c r="G41" s="3"/>
      <c r="H41" s="3"/>
      <c r="I41" s="3" t="str">
        <f ca="1">IFERROR(__xludf.DUMMYFUNCTION("""COMPUTED_VALUE"""),"Inquire")</f>
        <v>Inquire</v>
      </c>
      <c r="J41" s="3" t="str">
        <f ca="1">IFERROR(__xludf.DUMMYFUNCTION("""COMPUTED_VALUE"""),"ELA")</f>
        <v>ELA</v>
      </c>
      <c r="K41" s="3" t="str">
        <f ca="1">IFERROR(__xludf.DUMMYFUNCTION("""COMPUTED_VALUE"""),"Kindergarten")</f>
        <v>Kindergarten</v>
      </c>
      <c r="L41" s="3"/>
      <c r="M41" s="3"/>
      <c r="N41" s="3"/>
      <c r="O41" s="3"/>
      <c r="P41" s="3"/>
      <c r="Q41" s="3"/>
      <c r="R41" s="3"/>
      <c r="S41" s="3"/>
      <c r="T41" s="3" t="str">
        <f ca="1">IFERROR(__xludf.DUMMYFUNCTION("""COMPUTED_VALUE"""),"Truman Primary")</f>
        <v>Truman Primary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f ca="1">IFERROR(__xludf.DUMMYFUNCTION("""COMPUTED_VALUE"""),45765.5489424189)</f>
        <v>45765.5489424189</v>
      </c>
      <c r="B42" s="3" t="str">
        <f ca="1">IFERROR(__xludf.DUMMYFUNCTION("""COMPUTED_VALUE"""),"lcollings@normanps.org")</f>
        <v>lcollings@normanps.org</v>
      </c>
      <c r="C42" s="3"/>
      <c r="D42" s="3">
        <f ca="1">IFERROR(__xludf.DUMMYFUNCTION("""COMPUTED_VALUE"""),1)</f>
        <v>1</v>
      </c>
      <c r="E42" s="3"/>
      <c r="F42" s="6"/>
      <c r="G42" s="3"/>
      <c r="H42" s="3"/>
      <c r="I42" s="3"/>
      <c r="J42" s="3" t="str">
        <f ca="1">IFERROR(__xludf.DUMMYFUNCTION("""COMPUTED_VALUE"""),"ELA")</f>
        <v>ELA</v>
      </c>
      <c r="K42" s="3" t="str">
        <f ca="1">IFERROR(__xludf.DUMMYFUNCTION("""COMPUTED_VALUE"""),"Autism/SPED multi-level elementary")</f>
        <v>Autism/SPED multi-level elementary</v>
      </c>
      <c r="L42" s="3"/>
      <c r="M42" s="3"/>
      <c r="N42" s="3"/>
      <c r="O42" s="3"/>
      <c r="P42" s="3"/>
      <c r="Q42" s="3"/>
      <c r="R42" s="3"/>
      <c r="S42" s="3"/>
      <c r="T42" s="3" t="str">
        <f ca="1">IFERROR(__xludf.DUMMYFUNCTION("""COMPUTED_VALUE"""),"Truman Primary")</f>
        <v>Truman Primary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f ca="1">IFERROR(__xludf.DUMMYFUNCTION("""COMPUTED_VALUE"""),45765.5495589351)</f>
        <v>45765.549558935098</v>
      </c>
      <c r="B43" s="3" t="str">
        <f ca="1">IFERROR(__xludf.DUMMYFUNCTION("""COMPUTED_VALUE"""),"lcollings@normanps.org")</f>
        <v>lcollings@normanps.org</v>
      </c>
      <c r="C43" s="3"/>
      <c r="D43" s="3">
        <f ca="1">IFERROR(__xludf.DUMMYFUNCTION("""COMPUTED_VALUE"""),1)</f>
        <v>1</v>
      </c>
      <c r="E43" s="3"/>
      <c r="F43" s="6"/>
      <c r="G43" s="3"/>
      <c r="H43" s="3"/>
      <c r="I43" s="3" t="str">
        <f ca="1">IFERROR(__xludf.DUMMYFUNCTION("""COMPUTED_VALUE"""),"Engage")</f>
        <v>Engage</v>
      </c>
      <c r="J43" s="3" t="str">
        <f ca="1">IFERROR(__xludf.DUMMYFUNCTION("""COMPUTED_VALUE"""),"ELA")</f>
        <v>ELA</v>
      </c>
      <c r="K43" s="3" t="str">
        <f ca="1">IFERROR(__xludf.DUMMYFUNCTION("""COMPUTED_VALUE"""),"Autism/SPED multi-level elementary")</f>
        <v>Autism/SPED multi-level elementary</v>
      </c>
      <c r="L43" s="3"/>
      <c r="M43" s="3"/>
      <c r="N43" s="3"/>
      <c r="O43" s="3"/>
      <c r="P43" s="3"/>
      <c r="Q43" s="3"/>
      <c r="R43" s="3"/>
      <c r="S43" s="3"/>
      <c r="T43" s="3" t="str">
        <f ca="1">IFERROR(__xludf.DUMMYFUNCTION("""COMPUTED_VALUE"""),"Truman Primary")</f>
        <v>Truman Primary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2">
        <f ca="1">IFERROR(__xludf.DUMMYFUNCTION("""COMPUTED_VALUE"""),45765.5499073148)</f>
        <v>45765.549907314802</v>
      </c>
      <c r="B44" s="3" t="str">
        <f ca="1">IFERROR(__xludf.DUMMYFUNCTION("""COMPUTED_VALUE"""),"lcollings@normanps.org")</f>
        <v>lcollings@normanps.org</v>
      </c>
      <c r="C44" s="3"/>
      <c r="D44" s="3">
        <f ca="1">IFERROR(__xludf.DUMMYFUNCTION("""COMPUTED_VALUE"""),1)</f>
        <v>1</v>
      </c>
      <c r="E44" s="3"/>
      <c r="F44" s="6"/>
      <c r="G44" s="3"/>
      <c r="H44" s="3"/>
      <c r="I44" s="3" t="str">
        <f ca="1">IFERROR(__xludf.DUMMYFUNCTION("""COMPUTED_VALUE"""),"Engage")</f>
        <v>Engage</v>
      </c>
      <c r="J44" s="3" t="str">
        <f ca="1">IFERROR(__xludf.DUMMYFUNCTION("""COMPUTED_VALUE"""),"ELA")</f>
        <v>ELA</v>
      </c>
      <c r="K44" s="3" t="str">
        <f ca="1">IFERROR(__xludf.DUMMYFUNCTION("""COMPUTED_VALUE"""),"Autism/SPED multi-level elementary")</f>
        <v>Autism/SPED multi-level elementary</v>
      </c>
      <c r="L44" s="3"/>
      <c r="M44" s="3"/>
      <c r="N44" s="3"/>
      <c r="O44" s="3"/>
      <c r="P44" s="3"/>
      <c r="Q44" s="3"/>
      <c r="R44" s="3"/>
      <c r="S44" s="3"/>
      <c r="T44" s="3" t="str">
        <f ca="1">IFERROR(__xludf.DUMMYFUNCTION("""COMPUTED_VALUE"""),"Truman Primary")</f>
        <v>Truman Primary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2">
        <f ca="1">IFERROR(__xludf.DUMMYFUNCTION("""COMPUTED_VALUE"""),45770.6538594675)</f>
        <v>45770.6538594675</v>
      </c>
      <c r="B45" s="3" t="str">
        <f ca="1">IFERROR(__xludf.DUMMYFUNCTION("""COMPUTED_VALUE"""),"lcollings@normanps.org")</f>
        <v>lcollings@normanps.org</v>
      </c>
      <c r="C45" s="3"/>
      <c r="D45" s="3"/>
      <c r="E45" s="3"/>
      <c r="F45" s="6"/>
      <c r="G45" s="3"/>
      <c r="H45" s="3"/>
      <c r="I45" s="3"/>
      <c r="J45" s="3"/>
      <c r="K45" s="3"/>
      <c r="L45" s="3"/>
      <c r="M45" s="3">
        <f ca="1">IFERROR(__xludf.DUMMYFUNCTION("""COMPUTED_VALUE"""),309)</f>
        <v>309</v>
      </c>
      <c r="N45" s="3"/>
      <c r="O45" s="3"/>
      <c r="P45" s="3"/>
      <c r="Q45" s="3"/>
      <c r="R45" s="3"/>
      <c r="S45" s="3"/>
      <c r="T45" s="3" t="str">
        <f ca="1">IFERROR(__xludf.DUMMYFUNCTION("""COMPUTED_VALUE"""),"Truman Primary")</f>
        <v>Truman Primary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2">
        <f ca="1">IFERROR(__xludf.DUMMYFUNCTION("""COMPUTED_VALUE"""),45535.5974305555)</f>
        <v>45535.597430555499</v>
      </c>
      <c r="B46" s="3" t="str">
        <f ca="1">IFERROR(__xludf.DUMMYFUNCTION("""COMPUTED_VALUE"""),"akordelis2@normanps.org")</f>
        <v>akordelis2@normanps.org</v>
      </c>
      <c r="C46" s="3">
        <f ca="1">IFERROR(__xludf.DUMMYFUNCTION("""COMPUTED_VALUE"""),1)</f>
        <v>1</v>
      </c>
      <c r="D46" s="3">
        <f ca="1">IFERROR(__xludf.DUMMYFUNCTION("""COMPUTED_VALUE"""),1)</f>
        <v>1</v>
      </c>
      <c r="E46" s="3">
        <f ca="1">IFERROR(__xludf.DUMMYFUNCTION("""COMPUTED_VALUE"""),1)</f>
        <v>1</v>
      </c>
      <c r="F46" s="6">
        <f ca="1">IFERROR(__xludf.DUMMYFUNCTION("""COMPUTED_VALUE"""),1)</f>
        <v>1</v>
      </c>
      <c r="G46" s="3">
        <f ca="1">IFERROR(__xludf.DUMMYFUNCTION("""COMPUTED_VALUE"""),1)</f>
        <v>1</v>
      </c>
      <c r="H46" s="3">
        <f ca="1">IFERROR(__xludf.DUMMYFUNCTION("""COMPUTED_VALUE"""),1)</f>
        <v>1</v>
      </c>
      <c r="I46" s="3" t="str">
        <f ca="1">IFERROR(__xludf.DUMMYFUNCTION("""COMPUTED_VALUE"""),"Inquire")</f>
        <v>Inquire</v>
      </c>
      <c r="J46" s="3" t="str">
        <f ca="1">IFERROR(__xludf.DUMMYFUNCTION("""COMPUTED_VALUE"""),"ELA")</f>
        <v>ELA</v>
      </c>
      <c r="K46" s="3" t="str">
        <f ca="1">IFERROR(__xludf.DUMMYFUNCTION("""COMPUTED_VALUE"""),"Prek")</f>
        <v>Prek</v>
      </c>
      <c r="L46" s="3" t="str">
        <f ca="1">IFERROR(__xludf.DUMMYFUNCTION("""COMPUTED_VALUE"""),"Air Dry Clay")</f>
        <v>Air Dry Clay</v>
      </c>
      <c r="M46" s="3">
        <f ca="1">IFERROR(__xludf.DUMMYFUNCTION("""COMPUTED_VALUE"""),1)</f>
        <v>1</v>
      </c>
      <c r="N46" s="3">
        <f ca="1">IFERROR(__xludf.DUMMYFUNCTION("""COMPUTED_VALUE"""),1)</f>
        <v>1</v>
      </c>
      <c r="O46" s="3">
        <f ca="1">IFERROR(__xludf.DUMMYFUNCTION("""COMPUTED_VALUE"""),1)</f>
        <v>1</v>
      </c>
      <c r="P46" s="3" t="str">
        <f ca="1">IFERROR(__xludf.DUMMYFUNCTION("""COMPUTED_VALUE"""),"Pioneer")</f>
        <v>Pioneer</v>
      </c>
      <c r="Q46" s="3" t="str">
        <f ca="1">IFERROR(__xludf.DUMMYFUNCTION("""COMPUTED_VALUE"""),"OLA")</f>
        <v>OLA</v>
      </c>
      <c r="R46" s="3" t="str">
        <f ca="1">IFERROR(__xludf.DUMMYFUNCTION("""COMPUTED_VALUE"""),"Literacy Night")</f>
        <v>Literacy Night</v>
      </c>
      <c r="S46" s="3">
        <f ca="1">IFERROR(__xludf.DUMMYFUNCTION("""COMPUTED_VALUE"""),1)</f>
        <v>1</v>
      </c>
      <c r="T46" s="3" t="str">
        <f ca="1">IFERROR(__xludf.DUMMYFUNCTION("""COMPUTED_VALUE"""),"Truman Primary")</f>
        <v>Truman Primary</v>
      </c>
      <c r="U46" s="3"/>
      <c r="V46" s="3"/>
      <c r="W46" s="3"/>
      <c r="X46" s="3"/>
      <c r="Y46" s="3"/>
      <c r="Z46" s="3"/>
      <c r="AA46" s="3"/>
      <c r="AB46" s="3"/>
      <c r="AC46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J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'Washington'"",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IFERROR(__xludf.DUMMYFUNCTION("""COMPUTED_VALUE"""),45538.4205989351)</f>
        <v>45538.420598935103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IFERROR(__xludf.DUMMYFUNCTION("""COMPUTED_VALUE"""),1073)</f>
        <v>1073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IFERROR(__xludf.DUMMYFUNCTION("""COMPUTED_VALUE"""),64)</f>
        <v>64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IFERROR(__xludf.DUMMYFUNCTION("""COMPUTED_VALUE"""),"Washington")</f>
        <v>Washington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IFERROR(__xludf.DUMMYFUNCTION("""COMPUTED_VALUE"""),45573.4195360532)</f>
        <v>45573.419536053203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IFERROR(__xludf.DUMMYFUNCTION("""COMPUTED_VALUE"""),2714)</f>
        <v>2714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IFERROR(__xludf.DUMMYFUNCTION("""COMPUTED_VALUE"""),53)</f>
        <v>53</v>
      </c>
      <c r="O3" s="3"/>
      <c r="P3" s="3"/>
      <c r="Q3" s="3"/>
      <c r="R3" s="3"/>
      <c r="S3" s="3"/>
      <c r="T3" s="3" t="str">
        <f ca="1">IFERROR(__xludf.DUMMYFUNCTION("""COMPUTED_VALUE"""),"Washington")</f>
        <v>Washington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IFERROR(__xludf.DUMMYFUNCTION("""COMPUTED_VALUE"""),45630.4940866087)</f>
        <v>45630.494086608698</v>
      </c>
      <c r="B4" s="3" t="str">
        <f ca="1">IFERROR(__xludf.DUMMYFUNCTION("""COMPUTED_VALUE"""),"lcarter@normanps.org")</f>
        <v>lcarter@normanps.org</v>
      </c>
      <c r="C4" s="3"/>
      <c r="D4" s="3">
        <f ca="1">IFERROR(__xludf.DUMMYFUNCTION("""COMPUTED_VALUE"""),11)</f>
        <v>11</v>
      </c>
      <c r="E4" s="3"/>
      <c r="F4" s="6">
        <f ca="1">IFERROR(__xludf.DUMMYFUNCTION("""COMPUTED_VALUE"""),3000)</f>
        <v>3000</v>
      </c>
      <c r="G4" s="3">
        <f ca="1">IFERROR(__xludf.DUMMYFUNCTION("""COMPUTED_VALUE"""),115)</f>
        <v>115</v>
      </c>
      <c r="H4" s="3">
        <f ca="1">IFERROR(__xludf.DUMMYFUNCTION("""COMPUTED_VALUE"""),139)</f>
        <v>139</v>
      </c>
      <c r="I4" s="3" t="str">
        <f ca="1">IFERROR(__xludf.DUMMYFUNCTION("""COMPUTED_VALUE"""),"Inquire")</f>
        <v>Inquire</v>
      </c>
      <c r="J4" s="3" t="str">
        <f ca="1">IFERROR(__xludf.DUMMYFUNCTION("""COMPUTED_VALUE"""),"Social Studies")</f>
        <v>Social Studies</v>
      </c>
      <c r="K4" s="3" t="str">
        <f ca="1">IFERROR(__xludf.DUMMYFUNCTION("""COMPUTED_VALUE"""),"Fourth")</f>
        <v>Fourth</v>
      </c>
      <c r="L4" s="3" t="str">
        <f ca="1">IFERROR(__xludf.DUMMYFUNCTION("""COMPUTED_VALUE"""),"Legos &amp; Stick Together")</f>
        <v>Legos &amp; Stick Together</v>
      </c>
      <c r="M4" s="3">
        <f ca="1">IFERROR(__xludf.DUMMYFUNCTION("""COMPUTED_VALUE"""),53)</f>
        <v>53</v>
      </c>
      <c r="N4" s="3"/>
      <c r="O4" s="3"/>
      <c r="P4" s="3" t="str">
        <f ca="1">IFERROR(__xludf.DUMMYFUNCTION("""COMPUTED_VALUE"""),"Pioneer Library")</f>
        <v>Pioneer Library</v>
      </c>
      <c r="Q4" s="3" t="str">
        <f ca="1">IFERROR(__xludf.DUMMYFUNCTION("""COMPUTED_VALUE"""),"Site Climate, Culture and Community (CCC) Committee")</f>
        <v>Site Climate, Culture and Community (CCC) Committee</v>
      </c>
      <c r="R4" s="3" t="str">
        <f ca="1">IFERROR(__xludf.DUMMYFUNCTION("""COMPUTED_VALUE"""),"Storybook Pumpkin Display")</f>
        <v>Storybook Pumpkin Display</v>
      </c>
      <c r="S4" s="3">
        <f ca="1">IFERROR(__xludf.DUMMYFUNCTION("""COMPUTED_VALUE"""),3)</f>
        <v>3</v>
      </c>
      <c r="T4" s="3" t="str">
        <f ca="1">IFERROR(__xludf.DUMMYFUNCTION("""COMPUTED_VALUE"""),"Washington")</f>
        <v>Washington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IFERROR(__xludf.DUMMYFUNCTION("""COMPUTED_VALUE"""),45644.5417129861)</f>
        <v>45644.541712986102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IFERROR(__xludf.DUMMYFUNCTION("""COMPUTED_VALUE"""),2921)</f>
        <v>2921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IFERROR(__xludf.DUMMYFUNCTION("""COMPUTED_VALUE"""),345)</f>
        <v>345</v>
      </c>
      <c r="O5" s="3"/>
      <c r="P5" s="3"/>
      <c r="Q5" s="3"/>
      <c r="R5" s="3"/>
      <c r="S5" s="3"/>
      <c r="T5" s="3" t="str">
        <f ca="1">IFERROR(__xludf.DUMMYFUNCTION("""COMPUTED_VALUE"""),"Washington")</f>
        <v>Washington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IFERROR(__xludf.DUMMYFUNCTION("""COMPUTED_VALUE"""),45663.5687945486)</f>
        <v>45663.568794548599</v>
      </c>
      <c r="B6" s="3" t="str">
        <f ca="1">IFERROR(__xludf.DUMMYFUNCTION("""COMPUTED_VALUE"""),"lcarter@normanps.org")</f>
        <v>lcarter@normanps.org</v>
      </c>
      <c r="C6" s="3"/>
      <c r="D6" s="3">
        <f ca="1">IFERROR(__xludf.DUMMYFUNCTION("""COMPUTED_VALUE"""),4)</f>
        <v>4</v>
      </c>
      <c r="E6" s="3"/>
      <c r="F6" s="6"/>
      <c r="G6" s="3">
        <f ca="1">IFERROR(__xludf.DUMMYFUNCTION("""COMPUTED_VALUE"""),59)</f>
        <v>59</v>
      </c>
      <c r="H6" s="3">
        <f ca="1">IFERROR(__xludf.DUMMYFUNCTION("""COMPUTED_VALUE"""),35)</f>
        <v>35</v>
      </c>
      <c r="I6" s="3"/>
      <c r="J6" s="3"/>
      <c r="K6" s="3"/>
      <c r="L6" s="3"/>
      <c r="M6" s="3"/>
      <c r="N6" s="3"/>
      <c r="O6" s="3"/>
      <c r="P6" s="3"/>
      <c r="Q6" s="3"/>
      <c r="R6" s="3" t="str">
        <f ca="1">IFERROR(__xludf.DUMMYFUNCTION("""COMPUTED_VALUE"""),"Book Break Author Visits")</f>
        <v>Book Break Author Visits</v>
      </c>
      <c r="S6" s="3"/>
      <c r="T6" s="3" t="str">
        <f ca="1">IFERROR(__xludf.DUMMYFUNCTION("""COMPUTED_VALUE"""),"Washington")</f>
        <v>Washington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IFERROR(__xludf.DUMMYFUNCTION("""COMPUTED_VALUE"""),45663.5695232291)</f>
        <v>45663.569523229096</v>
      </c>
      <c r="B7" s="3" t="str">
        <f ca="1">IFERROR(__xludf.DUMMYFUNCTION("""COMPUTED_VALUE"""),"lcarter@normanps.org")</f>
        <v>lcarter@normanps.org</v>
      </c>
      <c r="C7" s="3"/>
      <c r="D7" s="3"/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tr">
        <f ca="1">IFERROR(__xludf.DUMMYFUNCTION("""COMPUTED_VALUE"""),"Schoolwide Hour of Code")</f>
        <v>Schoolwide Hour of Code</v>
      </c>
      <c r="S7" s="3"/>
      <c r="T7" s="3" t="str">
        <f ca="1">IFERROR(__xludf.DUMMYFUNCTION("""COMPUTED_VALUE"""),"Washington")</f>
        <v>Washington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IFERROR(__xludf.DUMMYFUNCTION("""COMPUTED_VALUE"""),45672.345976493)</f>
        <v>45672.345976493001</v>
      </c>
      <c r="B8" s="3" t="str">
        <f ca="1">IFERROR(__xludf.DUMMYFUNCTION("""COMPUTED_VALUE"""),"sschrank@normanps.org")</f>
        <v>sschrank@normanps.org</v>
      </c>
      <c r="C8" s="3">
        <f ca="1">IFERROR(__xludf.DUMMYFUNCTION("""COMPUTED_VALUE"""),1157)</f>
        <v>1157</v>
      </c>
      <c r="D8" s="3"/>
      <c r="E8" s="3"/>
      <c r="F8" s="6"/>
      <c r="G8" s="3"/>
      <c r="H8" s="3"/>
      <c r="I8" s="3"/>
      <c r="J8" s="3"/>
      <c r="K8" s="3"/>
      <c r="L8" s="3"/>
      <c r="M8" s="3"/>
      <c r="N8" s="3">
        <f ca="1">IFERROR(__xludf.DUMMYFUNCTION("""COMPUTED_VALUE"""),167)</f>
        <v>167</v>
      </c>
      <c r="O8" s="3"/>
      <c r="P8" s="3"/>
      <c r="Q8" s="3"/>
      <c r="R8" s="3"/>
      <c r="S8" s="3"/>
      <c r="T8" s="3" t="str">
        <f ca="1">IFERROR(__xludf.DUMMYFUNCTION("""COMPUTED_VALUE"""),"Washington")</f>
        <v>Washington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IFERROR(__xludf.DUMMYFUNCTION("""COMPUTED_VALUE"""),45693.48473103)</f>
        <v>45693.484731030003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IFERROR(__xludf.DUMMYFUNCTION("""COMPUTED_VALUE"""),1945)</f>
        <v>1945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IFERROR(__xludf.DUMMYFUNCTION("""COMPUTED_VALUE"""),364)</f>
        <v>364</v>
      </c>
      <c r="O9" s="3"/>
      <c r="P9" s="3"/>
      <c r="Q9" s="3"/>
      <c r="R9" s="3"/>
      <c r="S9" s="3"/>
      <c r="T9" s="3" t="str">
        <f ca="1">IFERROR(__xludf.DUMMYFUNCTION("""COMPUTED_VALUE"""),"Washington")</f>
        <v>Washington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/>
      <c r="B10" s="3"/>
      <c r="C10" s="3">
        <f ca="1">IFERROR(__xludf.DUMMYFUNCTION("""COMPUTED_VALUE"""),1)</f>
        <v>1</v>
      </c>
      <c r="D10" s="3">
        <f ca="1">IFERROR(__xludf.DUMMYFUNCTION("""COMPUTED_VALUE"""),1)</f>
        <v>1</v>
      </c>
      <c r="E10" s="3">
        <f ca="1">IFERROR(__xludf.DUMMYFUNCTION("""COMPUTED_VALUE"""),1)</f>
        <v>1</v>
      </c>
      <c r="F10" s="6">
        <f ca="1">IFERROR(__xludf.DUMMYFUNCTION("""COMPUTED_VALUE"""),1)</f>
        <v>1</v>
      </c>
      <c r="G10" s="3">
        <f ca="1">IFERROR(__xludf.DUMMYFUNCTION("""COMPUTED_VALUE"""),1)</f>
        <v>1</v>
      </c>
      <c r="H10" s="3">
        <f ca="1">IFERROR(__xludf.DUMMYFUNCTION("""COMPUTED_VALUE"""),1)</f>
        <v>1</v>
      </c>
      <c r="I10" s="3" t="str">
        <f ca="1">IFERROR(__xludf.DUMMYFUNCTION("""COMPUTED_VALUE"""),"Inquire")</f>
        <v>Inquire</v>
      </c>
      <c r="J10" s="3" t="str">
        <f ca="1">IFERROR(__xludf.DUMMYFUNCTION("""COMPUTED_VALUE"""),"ELA")</f>
        <v>ELA</v>
      </c>
      <c r="K10" s="3" t="str">
        <f ca="1">IFERROR(__xludf.DUMMYFUNCTION("""COMPUTED_VALUE"""),"Prek")</f>
        <v>Prek</v>
      </c>
      <c r="L10" s="3" t="str">
        <f ca="1">IFERROR(__xludf.DUMMYFUNCTION("""COMPUTED_VALUE"""),"Air Dry Clay")</f>
        <v>Air Dry Clay</v>
      </c>
      <c r="M10" s="3">
        <f ca="1">IFERROR(__xludf.DUMMYFUNCTION("""COMPUTED_VALUE"""),1)</f>
        <v>1</v>
      </c>
      <c r="N10" s="3">
        <f ca="1">IFERROR(__xludf.DUMMYFUNCTION("""COMPUTED_VALUE"""),1)</f>
        <v>1</v>
      </c>
      <c r="O10" s="3">
        <f ca="1">IFERROR(__xludf.DUMMYFUNCTION("""COMPUTED_VALUE"""),1)</f>
        <v>1</v>
      </c>
      <c r="P10" s="3" t="str">
        <f ca="1">IFERROR(__xludf.DUMMYFUNCTION("""COMPUTED_VALUE"""),"Pioneer")</f>
        <v>Pioneer</v>
      </c>
      <c r="Q10" s="3" t="str">
        <f ca="1">IFERROR(__xludf.DUMMYFUNCTION("""COMPUTED_VALUE"""),"OLA")</f>
        <v>OLA</v>
      </c>
      <c r="R10" s="3" t="str">
        <f ca="1">IFERROR(__xludf.DUMMYFUNCTION("""COMPUTED_VALUE"""),"Literacy Night")</f>
        <v>Literacy Night</v>
      </c>
      <c r="S10" s="3">
        <f ca="1">IFERROR(__xludf.DUMMYFUNCTION("""COMPUTED_VALUE"""),1)</f>
        <v>1</v>
      </c>
      <c r="T10" s="3" t="str">
        <f ca="1">IFERROR(__xludf.DUMMYFUNCTION("""COMPUTED_VALUE"""),"Washington")</f>
        <v>Washington</v>
      </c>
      <c r="U10" s="3"/>
      <c r="V10" s="3"/>
      <c r="W10" s="3"/>
      <c r="X10" s="3"/>
      <c r="Y10" s="3"/>
      <c r="Z10" s="3"/>
      <c r="AA10" s="3"/>
      <c r="AB10" s="3"/>
      <c r="AC10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J1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'Wilson'"",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IFERROR(__xludf.DUMMYFUNCTION("""COMPUTED_VALUE"""),45538.4210223958)</f>
        <v>45538.4210223958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IFERROR(__xludf.DUMMYFUNCTION("""COMPUTED_VALUE"""),509)</f>
        <v>509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IFERROR(__xludf.DUMMYFUNCTION("""COMPUTED_VALUE"""),0)</f>
        <v>0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IFERROR(__xludf.DUMMYFUNCTION("""COMPUTED_VALUE"""),"Wilson")</f>
        <v>Wilson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IFERROR(__xludf.DUMMYFUNCTION("""COMPUTED_VALUE"""),45573.4200073032)</f>
        <v>45573.420007303197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IFERROR(__xludf.DUMMYFUNCTION("""COMPUTED_VALUE"""),959)</f>
        <v>959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IFERROR(__xludf.DUMMYFUNCTION("""COMPUTED_VALUE"""),33)</f>
        <v>33</v>
      </c>
      <c r="O3" s="3"/>
      <c r="P3" s="3"/>
      <c r="Q3" s="3"/>
      <c r="R3" s="3"/>
      <c r="S3" s="3"/>
      <c r="T3" s="3" t="str">
        <f ca="1">IFERROR(__xludf.DUMMYFUNCTION("""COMPUTED_VALUE"""),"Wilson")</f>
        <v>Wilson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IFERROR(__xludf.DUMMYFUNCTION("""COMPUTED_VALUE"""),45615.6906355902)</f>
        <v>45615.690635590203</v>
      </c>
      <c r="B4" s="3" t="str">
        <f ca="1">IFERROR(__xludf.DUMMYFUNCTION("""COMPUTED_VALUE"""),"jamih@normanps.org")</f>
        <v>jamih@normanps.org</v>
      </c>
      <c r="C4" s="3"/>
      <c r="D4" s="3"/>
      <c r="E4" s="3"/>
      <c r="F4" s="6">
        <f ca="1">IFERROR(__xludf.DUMMYFUNCTION("""COMPUTED_VALUE"""),2988)</f>
        <v>2988</v>
      </c>
      <c r="G4" s="3"/>
      <c r="H4" s="3"/>
      <c r="I4" s="3"/>
      <c r="J4" s="3"/>
      <c r="K4" s="3"/>
      <c r="L4" s="3" t="str">
        <f ca="1">IFERROR(__xludf.DUMMYFUNCTION("""COMPUTED_VALUE"""),"play-doh")</f>
        <v>play-doh</v>
      </c>
      <c r="M4" s="3">
        <f ca="1">IFERROR(__xludf.DUMMYFUNCTION("""COMPUTED_VALUE"""),30)</f>
        <v>30</v>
      </c>
      <c r="N4" s="3"/>
      <c r="O4" s="3"/>
      <c r="P4" s="3"/>
      <c r="Q4" s="3"/>
      <c r="R4" s="3"/>
      <c r="S4" s="3"/>
      <c r="T4" s="3" t="str">
        <f ca="1">IFERROR(__xludf.DUMMYFUNCTION("""COMPUTED_VALUE"""),"Wilson")</f>
        <v>Wilson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IFERROR(__xludf.DUMMYFUNCTION("""COMPUTED_VALUE"""),45615.692422118)</f>
        <v>45615.692422118002</v>
      </c>
      <c r="B5" s="3" t="str">
        <f ca="1">IFERROR(__xludf.DUMMYFUNCTION("""COMPUTED_VALUE"""),"jamih@normanps.org")</f>
        <v>jamih@normanps.org</v>
      </c>
      <c r="C5" s="3"/>
      <c r="D5" s="3">
        <f ca="1">IFERROR(__xludf.DUMMYFUNCTION("""COMPUTED_VALUE"""),1)</f>
        <v>1</v>
      </c>
      <c r="E5" s="3"/>
      <c r="F5" s="6"/>
      <c r="G5" s="3"/>
      <c r="H5" s="3"/>
      <c r="I5" s="3"/>
      <c r="J5" s="3" t="str">
        <f ca="1">IFERROR(__xludf.DUMMYFUNCTION("""COMPUTED_VALUE"""),"Direct Instruction")</f>
        <v>Direct Instruction</v>
      </c>
      <c r="K5" s="3" t="str">
        <f ca="1">IFERROR(__xludf.DUMMYFUNCTION("""COMPUTED_VALUE"""),"Prek")</f>
        <v>Prek</v>
      </c>
      <c r="L5" s="3"/>
      <c r="M5" s="3"/>
      <c r="N5" s="3"/>
      <c r="O5" s="3"/>
      <c r="P5" s="3"/>
      <c r="Q5" s="3"/>
      <c r="R5" s="3"/>
      <c r="S5" s="3"/>
      <c r="T5" s="3" t="str">
        <f ca="1">IFERROR(__xludf.DUMMYFUNCTION("""COMPUTED_VALUE"""),"Wilson")</f>
        <v>Wilson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IFERROR(__xludf.DUMMYFUNCTION("""COMPUTED_VALUE"""),45615.6926586805)</f>
        <v>45615.692658680498</v>
      </c>
      <c r="B6" s="3" t="str">
        <f ca="1">IFERROR(__xludf.DUMMYFUNCTION("""COMPUTED_VALUE"""),"jamih@normanps.org")</f>
        <v>jamih@normanps.org</v>
      </c>
      <c r="C6" s="3"/>
      <c r="D6" s="3">
        <f ca="1">IFERROR(__xludf.DUMMYFUNCTION("""COMPUTED_VALUE"""),1)</f>
        <v>1</v>
      </c>
      <c r="E6" s="3"/>
      <c r="F6" s="6"/>
      <c r="G6" s="3"/>
      <c r="H6" s="3"/>
      <c r="I6" s="3"/>
      <c r="J6" s="3" t="str">
        <f ca="1">IFERROR(__xludf.DUMMYFUNCTION("""COMPUTED_VALUE"""),"Direct Instruction")</f>
        <v>Direct Instruction</v>
      </c>
      <c r="K6" s="3" t="str">
        <f ca="1">IFERROR(__xludf.DUMMYFUNCTION("""COMPUTED_VALUE"""),"Kindergarten")</f>
        <v>Kindergarten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IFERROR(__xludf.DUMMYFUNCTION("""COMPUTED_VALUE"""),"Wilson")</f>
        <v>Wilson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IFERROR(__xludf.DUMMYFUNCTION("""COMPUTED_VALUE"""),45615.6928856134)</f>
        <v>45615.692885613404</v>
      </c>
      <c r="B7" s="3" t="str">
        <f ca="1">IFERROR(__xludf.DUMMYFUNCTION("""COMPUTED_VALUE"""),"jamih@normanps.org")</f>
        <v>jamih@normanps.org</v>
      </c>
      <c r="C7" s="3"/>
      <c r="D7" s="3">
        <f ca="1">IFERROR(__xludf.DUMMYFUNCTION("""COMPUTED_VALUE"""),1)</f>
        <v>1</v>
      </c>
      <c r="E7" s="3"/>
      <c r="F7" s="6"/>
      <c r="G7" s="3"/>
      <c r="H7" s="3"/>
      <c r="I7" s="3"/>
      <c r="J7" s="3" t="str">
        <f ca="1">IFERROR(__xludf.DUMMYFUNCTION("""COMPUTED_VALUE"""),"Direct Instruction")</f>
        <v>Direct Instruction</v>
      </c>
      <c r="K7" s="3" t="str">
        <f ca="1">IFERROR(__xludf.DUMMYFUNCTION("""COMPUTED_VALUE"""),"First")</f>
        <v>First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IFERROR(__xludf.DUMMYFUNCTION("""COMPUTED_VALUE"""),"Wilson")</f>
        <v>Wilson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IFERROR(__xludf.DUMMYFUNCTION("""COMPUTED_VALUE"""),45615.6932061226)</f>
        <v>45615.693206122603</v>
      </c>
      <c r="B8" s="3" t="str">
        <f ca="1">IFERROR(__xludf.DUMMYFUNCTION("""COMPUTED_VALUE"""),"jamih@normanps.org")</f>
        <v>jamih@normanps.org</v>
      </c>
      <c r="C8" s="3"/>
      <c r="D8" s="3">
        <f ca="1">IFERROR(__xludf.DUMMYFUNCTION("""COMPUTED_VALUE"""),2)</f>
        <v>2</v>
      </c>
      <c r="E8" s="3"/>
      <c r="F8" s="6"/>
      <c r="G8" s="3"/>
      <c r="H8" s="3"/>
      <c r="I8" s="3"/>
      <c r="J8" s="3" t="str">
        <f ca="1">IFERROR(__xludf.DUMMYFUNCTION("""COMPUTED_VALUE"""),"Direct Instruction")</f>
        <v>Direct Instruction</v>
      </c>
      <c r="K8" s="3" t="str">
        <f ca="1">IFERROR(__xludf.DUMMYFUNCTION("""COMPUTED_VALUE"""),"Second")</f>
        <v>Second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IFERROR(__xludf.DUMMYFUNCTION("""COMPUTED_VALUE"""),"Wilson")</f>
        <v>Wilson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IFERROR(__xludf.DUMMYFUNCTION("""COMPUTED_VALUE"""),45615.6933947453)</f>
        <v>45615.6933947453</v>
      </c>
      <c r="B9" s="3" t="str">
        <f ca="1">IFERROR(__xludf.DUMMYFUNCTION("""COMPUTED_VALUE"""),"jamih@normanps.org")</f>
        <v>jamih@normanps.org</v>
      </c>
      <c r="C9" s="3"/>
      <c r="D9" s="3">
        <f ca="1">IFERROR(__xludf.DUMMYFUNCTION("""COMPUTED_VALUE"""),2)</f>
        <v>2</v>
      </c>
      <c r="E9" s="3"/>
      <c r="F9" s="6"/>
      <c r="G9" s="3"/>
      <c r="H9" s="3"/>
      <c r="I9" s="3"/>
      <c r="J9" s="3" t="str">
        <f ca="1">IFERROR(__xludf.DUMMYFUNCTION("""COMPUTED_VALUE"""),"Direct Instruction")</f>
        <v>Direct Instruction</v>
      </c>
      <c r="K9" s="3" t="str">
        <f ca="1">IFERROR(__xludf.DUMMYFUNCTION("""COMPUTED_VALUE"""),"Third")</f>
        <v>Third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IFERROR(__xludf.DUMMYFUNCTION("""COMPUTED_VALUE"""),"Wilson")</f>
        <v>Wilson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IFERROR(__xludf.DUMMYFUNCTION("""COMPUTED_VALUE"""),45615.6936787037)</f>
        <v>45615.693678703698</v>
      </c>
      <c r="B10" s="3" t="str">
        <f ca="1">IFERROR(__xludf.DUMMYFUNCTION("""COMPUTED_VALUE"""),"jamih@normanps.org")</f>
        <v>jamih@normanps.org</v>
      </c>
      <c r="C10" s="3"/>
      <c r="D10" s="3">
        <f ca="1">IFERROR(__xludf.DUMMYFUNCTION("""COMPUTED_VALUE"""),2)</f>
        <v>2</v>
      </c>
      <c r="E10" s="3"/>
      <c r="F10" s="6"/>
      <c r="G10" s="3"/>
      <c r="H10" s="3"/>
      <c r="I10" s="3"/>
      <c r="J10" s="3" t="str">
        <f ca="1">IFERROR(__xludf.DUMMYFUNCTION("""COMPUTED_VALUE"""),"Direct Instruction")</f>
        <v>Direct Instruction</v>
      </c>
      <c r="K10" s="3" t="str">
        <f ca="1">IFERROR(__xludf.DUMMYFUNCTION("""COMPUTED_VALUE"""),"Fourth")</f>
        <v>Fourth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IFERROR(__xludf.DUMMYFUNCTION("""COMPUTED_VALUE"""),"Wilson")</f>
        <v>Wilson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IFERROR(__xludf.DUMMYFUNCTION("""COMPUTED_VALUE"""),45615.6938912037)</f>
        <v>45615.6938912037</v>
      </c>
      <c r="B11" s="3" t="str">
        <f ca="1">IFERROR(__xludf.DUMMYFUNCTION("""COMPUTED_VALUE"""),"jamih@normanps.org")</f>
        <v>jamih@normanps.org</v>
      </c>
      <c r="C11" s="3"/>
      <c r="D11" s="3">
        <f ca="1">IFERROR(__xludf.DUMMYFUNCTION("""COMPUTED_VALUE"""),2)</f>
        <v>2</v>
      </c>
      <c r="E11" s="3"/>
      <c r="F11" s="6"/>
      <c r="G11" s="3"/>
      <c r="H11" s="3"/>
      <c r="I11" s="3"/>
      <c r="J11" s="3" t="str">
        <f ca="1">IFERROR(__xludf.DUMMYFUNCTION("""COMPUTED_VALUE"""),"Direct Instruction")</f>
        <v>Direct Instruction</v>
      </c>
      <c r="K11" s="3" t="str">
        <f ca="1">IFERROR(__xludf.DUMMYFUNCTION("""COMPUTED_VALUE"""),"Fifth")</f>
        <v>Fifth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IFERROR(__xludf.DUMMYFUNCTION("""COMPUTED_VALUE"""),"Wilson")</f>
        <v>Wilson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IFERROR(__xludf.DUMMYFUNCTION("""COMPUTED_VALUE"""),45615.6942468634)</f>
        <v>45615.694246863401</v>
      </c>
      <c r="B12" s="3" t="str">
        <f ca="1">IFERROR(__xludf.DUMMYFUNCTION("""COMPUTED_VALUE"""),"jamih@normanps.org")</f>
        <v>jamih@normanps.org</v>
      </c>
      <c r="C12" s="3"/>
      <c r="D12" s="3">
        <f ca="1">IFERROR(__xludf.DUMMYFUNCTION("""COMPUTED_VALUE"""),2)</f>
        <v>2</v>
      </c>
      <c r="E12" s="3"/>
      <c r="F12" s="6"/>
      <c r="G12" s="3"/>
      <c r="H12" s="3"/>
      <c r="I12" s="3"/>
      <c r="J12" s="3" t="str">
        <f ca="1">IFERROR(__xludf.DUMMYFUNCTION("""COMPUTED_VALUE"""),"Direct Instruction")</f>
        <v>Direct Instruction</v>
      </c>
      <c r="K12" s="3" t="str">
        <f ca="1">IFERROR(__xludf.DUMMYFUNCTION("""COMPUTED_VALUE"""),"Autism/SPED multi-level elementary")</f>
        <v>Autism/SPED multi-level elementary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IFERROR(__xludf.DUMMYFUNCTION("""COMPUTED_VALUE"""),"Wilson")</f>
        <v>Wilson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IFERROR(__xludf.DUMMYFUNCTION("""COMPUTED_VALUE"""),45615.695365324)</f>
        <v>45615.695365323998</v>
      </c>
      <c r="B13" s="3" t="str">
        <f ca="1">IFERROR(__xludf.DUMMYFUNCTION("""COMPUTED_VALUE"""),"jamih@normanps.org")</f>
        <v>jamih@normanps.org</v>
      </c>
      <c r="C13" s="3"/>
      <c r="D13" s="3">
        <f ca="1">IFERROR(__xludf.DUMMYFUNCTION("""COMPUTED_VALUE"""),2)</f>
        <v>2</v>
      </c>
      <c r="E13" s="3"/>
      <c r="F13" s="6"/>
      <c r="G13" s="3"/>
      <c r="H13" s="3"/>
      <c r="I13" s="3"/>
      <c r="J13" s="3" t="str">
        <f ca="1">IFERROR(__xludf.DUMMYFUNCTION("""COMPUTED_VALUE"""),"Direct Instruction")</f>
        <v>Direct Instruction</v>
      </c>
      <c r="K13" s="3" t="str">
        <f ca="1">IFERROR(__xludf.DUMMYFUNCTION("""COMPUTED_VALUE"""),"Third")</f>
        <v>Third</v>
      </c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IFERROR(__xludf.DUMMYFUNCTION("""COMPUTED_VALUE"""),"Wilson")</f>
        <v>Wilson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IFERROR(__xludf.DUMMYFUNCTION("""COMPUTED_VALUE"""),45615.6955638541)</f>
        <v>45615.695563854097</v>
      </c>
      <c r="B14" s="3" t="str">
        <f ca="1">IFERROR(__xludf.DUMMYFUNCTION("""COMPUTED_VALUE"""),"jamih@normanps.org")</f>
        <v>jamih@normanps.org</v>
      </c>
      <c r="C14" s="3"/>
      <c r="D14" s="3">
        <f ca="1">IFERROR(__xludf.DUMMYFUNCTION("""COMPUTED_VALUE"""),2)</f>
        <v>2</v>
      </c>
      <c r="E14" s="3"/>
      <c r="F14" s="6"/>
      <c r="G14" s="3"/>
      <c r="H14" s="3"/>
      <c r="I14" s="3"/>
      <c r="J14" s="3" t="str">
        <f ca="1">IFERROR(__xludf.DUMMYFUNCTION("""COMPUTED_VALUE"""),"Direct Instruction")</f>
        <v>Direct Instruction</v>
      </c>
      <c r="K14" s="3" t="str">
        <f ca="1">IFERROR(__xludf.DUMMYFUNCTION("""COMPUTED_VALUE"""),"Fourth")</f>
        <v>Fourth</v>
      </c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IFERROR(__xludf.DUMMYFUNCTION("""COMPUTED_VALUE"""),"Wilson")</f>
        <v>Wilson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IFERROR(__xludf.DUMMYFUNCTION("""COMPUTED_VALUE"""),45615.6961106828)</f>
        <v>45615.696110682802</v>
      </c>
      <c r="B15" s="3" t="str">
        <f ca="1">IFERROR(__xludf.DUMMYFUNCTION("""COMPUTED_VALUE"""),"jamih@normanps.org")</f>
        <v>jamih@normanps.org</v>
      </c>
      <c r="C15" s="3"/>
      <c r="D15" s="3">
        <f ca="1">IFERROR(__xludf.DUMMYFUNCTION("""COMPUTED_VALUE"""),2)</f>
        <v>2</v>
      </c>
      <c r="E15" s="3"/>
      <c r="F15" s="6"/>
      <c r="G15" s="3"/>
      <c r="H15" s="3"/>
      <c r="I15" s="3"/>
      <c r="J15" s="3" t="str">
        <f ca="1">IFERROR(__xludf.DUMMYFUNCTION("""COMPUTED_VALUE"""),"Direct Instruction")</f>
        <v>Direct Instruction</v>
      </c>
      <c r="K15" s="3" t="str">
        <f ca="1">IFERROR(__xludf.DUMMYFUNCTION("""COMPUTED_VALUE"""),"Fifth")</f>
        <v>Fifth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IFERROR(__xludf.DUMMYFUNCTION("""COMPUTED_VALUE"""),"Wilson")</f>
        <v>Wilson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IFERROR(__xludf.DUMMYFUNCTION("""COMPUTED_VALUE"""),45615.6968197106)</f>
        <v>45615.696819710603</v>
      </c>
      <c r="B16" s="3" t="str">
        <f ca="1">IFERROR(__xludf.DUMMYFUNCTION("""COMPUTED_VALUE"""),"jamih@normanps.org")</f>
        <v>jamih@normanps.org</v>
      </c>
      <c r="C16" s="3"/>
      <c r="D16" s="3">
        <f ca="1">IFERROR(__xludf.DUMMYFUNCTION("""COMPUTED_VALUE"""),1)</f>
        <v>1</v>
      </c>
      <c r="E16" s="3"/>
      <c r="F16" s="6"/>
      <c r="G16" s="3"/>
      <c r="H16" s="3"/>
      <c r="I16" s="3"/>
      <c r="J16" s="3" t="str">
        <f ca="1">IFERROR(__xludf.DUMMYFUNCTION("""COMPUTED_VALUE"""),"ELA")</f>
        <v>ELA</v>
      </c>
      <c r="K16" s="3" t="str">
        <f ca="1">IFERROR(__xludf.DUMMYFUNCTION("""COMPUTED_VALUE"""),"Prek")</f>
        <v>Prek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IFERROR(__xludf.DUMMYFUNCTION("""COMPUTED_VALUE"""),"Wilson")</f>
        <v>Wilson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IFERROR(__xludf.DUMMYFUNCTION("""COMPUTED_VALUE"""),45615.6969942592)</f>
        <v>45615.696994259197</v>
      </c>
      <c r="B17" s="3" t="str">
        <f ca="1">IFERROR(__xludf.DUMMYFUNCTION("""COMPUTED_VALUE"""),"jamih@normanps.org")</f>
        <v>jamih@normanps.org</v>
      </c>
      <c r="C17" s="3"/>
      <c r="D17" s="3">
        <f ca="1">IFERROR(__xludf.DUMMYFUNCTION("""COMPUTED_VALUE"""),1)</f>
        <v>1</v>
      </c>
      <c r="E17" s="3"/>
      <c r="F17" s="6"/>
      <c r="G17" s="3"/>
      <c r="H17" s="3"/>
      <c r="I17" s="3"/>
      <c r="J17" s="3" t="str">
        <f ca="1">IFERROR(__xludf.DUMMYFUNCTION("""COMPUTED_VALUE"""),"ELA")</f>
        <v>ELA</v>
      </c>
      <c r="K17" s="3" t="str">
        <f ca="1">IFERROR(__xludf.DUMMYFUNCTION("""COMPUTED_VALUE"""),"Kindergarten")</f>
        <v>Kindergarten</v>
      </c>
      <c r="L17" s="3"/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IFERROR(__xludf.DUMMYFUNCTION("""COMPUTED_VALUE"""),"Wilson")</f>
        <v>Wilson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IFERROR(__xludf.DUMMYFUNCTION("""COMPUTED_VALUE"""),45615.697190243)</f>
        <v>45615.697190243001</v>
      </c>
      <c r="B18" s="3" t="str">
        <f ca="1">IFERROR(__xludf.DUMMYFUNCTION("""COMPUTED_VALUE"""),"jamih@normanps.org")</f>
        <v>jamih@normanps.org</v>
      </c>
      <c r="C18" s="3"/>
      <c r="D18" s="3">
        <f ca="1">IFERROR(__xludf.DUMMYFUNCTION("""COMPUTED_VALUE"""),1)</f>
        <v>1</v>
      </c>
      <c r="E18" s="3"/>
      <c r="F18" s="6"/>
      <c r="G18" s="3"/>
      <c r="H18" s="3"/>
      <c r="I18" s="3"/>
      <c r="J18" s="3" t="str">
        <f ca="1">IFERROR(__xludf.DUMMYFUNCTION("""COMPUTED_VALUE"""),"ELA")</f>
        <v>ELA</v>
      </c>
      <c r="K18" s="3" t="str">
        <f ca="1">IFERROR(__xludf.DUMMYFUNCTION("""COMPUTED_VALUE"""),"First")</f>
        <v>First</v>
      </c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IFERROR(__xludf.DUMMYFUNCTION("""COMPUTED_VALUE"""),"Wilson")</f>
        <v>Wilson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IFERROR(__xludf.DUMMYFUNCTION("""COMPUTED_VALUE"""),45615.6973706018)</f>
        <v>45615.697370601803</v>
      </c>
      <c r="B19" s="3" t="str">
        <f ca="1">IFERROR(__xludf.DUMMYFUNCTION("""COMPUTED_VALUE"""),"jamih@normanps.org")</f>
        <v>jamih@normanps.org</v>
      </c>
      <c r="C19" s="3"/>
      <c r="D19" s="3">
        <f ca="1">IFERROR(__xludf.DUMMYFUNCTION("""COMPUTED_VALUE"""),2)</f>
        <v>2</v>
      </c>
      <c r="E19" s="3"/>
      <c r="F19" s="6"/>
      <c r="G19" s="3"/>
      <c r="H19" s="3"/>
      <c r="I19" s="3"/>
      <c r="J19" s="3" t="str">
        <f ca="1">IFERROR(__xludf.DUMMYFUNCTION("""COMPUTED_VALUE"""),"ELA")</f>
        <v>ELA</v>
      </c>
      <c r="K19" s="3" t="str">
        <f ca="1">IFERROR(__xludf.DUMMYFUNCTION("""COMPUTED_VALUE"""),"Second")</f>
        <v>Second</v>
      </c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IFERROR(__xludf.DUMMYFUNCTION("""COMPUTED_VALUE"""),"Wilson")</f>
        <v>Wilson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IFERROR(__xludf.DUMMYFUNCTION("""COMPUTED_VALUE"""),45615.6976466319)</f>
        <v>45615.697646631903</v>
      </c>
      <c r="B20" s="3" t="str">
        <f ca="1">IFERROR(__xludf.DUMMYFUNCTION("""COMPUTED_VALUE"""),"jamih@normanps.org")</f>
        <v>jamih@normanps.org</v>
      </c>
      <c r="C20" s="3"/>
      <c r="D20" s="3">
        <f ca="1">IFERROR(__xludf.DUMMYFUNCTION("""COMPUTED_VALUE"""),2)</f>
        <v>2</v>
      </c>
      <c r="E20" s="3"/>
      <c r="F20" s="6"/>
      <c r="G20" s="3"/>
      <c r="H20" s="3"/>
      <c r="I20" s="3"/>
      <c r="J20" s="3" t="str">
        <f ca="1">IFERROR(__xludf.DUMMYFUNCTION("""COMPUTED_VALUE"""),"ELA")</f>
        <v>ELA</v>
      </c>
      <c r="K20" s="3" t="str">
        <f ca="1">IFERROR(__xludf.DUMMYFUNCTION("""COMPUTED_VALUE"""),"Autism/SPED multi-level elementary")</f>
        <v>Autism/SPED multi-level elementary</v>
      </c>
      <c r="L20" s="3"/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IFERROR(__xludf.DUMMYFUNCTION("""COMPUTED_VALUE"""),"Wilson")</f>
        <v>Wilson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IFERROR(__xludf.DUMMYFUNCTION("""COMPUTED_VALUE"""),45615.698068206)</f>
        <v>45615.698068206002</v>
      </c>
      <c r="B21" s="3" t="str">
        <f ca="1">IFERROR(__xludf.DUMMYFUNCTION("""COMPUTED_VALUE"""),"jamih@normanps.org")</f>
        <v>jamih@normanps.org</v>
      </c>
      <c r="C21" s="3"/>
      <c r="D21" s="3">
        <f ca="1">IFERROR(__xludf.DUMMYFUNCTION("""COMPUTED_VALUE"""),2)</f>
        <v>2</v>
      </c>
      <c r="E21" s="3"/>
      <c r="F21" s="6"/>
      <c r="G21" s="3"/>
      <c r="H21" s="3"/>
      <c r="I21" s="3"/>
      <c r="J21" s="3" t="str">
        <f ca="1">IFERROR(__xludf.DUMMYFUNCTION("""COMPUTED_VALUE"""),"ELA")</f>
        <v>ELA</v>
      </c>
      <c r="K21" s="3" t="str">
        <f ca="1">IFERROR(__xludf.DUMMYFUNCTION("""COMPUTED_VALUE"""),"Third")</f>
        <v>Third</v>
      </c>
      <c r="L21" s="3"/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IFERROR(__xludf.DUMMYFUNCTION("""COMPUTED_VALUE"""),"Wilson")</f>
        <v>Wilson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f ca="1">IFERROR(__xludf.DUMMYFUNCTION("""COMPUTED_VALUE"""),45615.69825125)</f>
        <v>45615.698251250004</v>
      </c>
      <c r="B22" s="3" t="str">
        <f ca="1">IFERROR(__xludf.DUMMYFUNCTION("""COMPUTED_VALUE"""),"jamih@normanps.org")</f>
        <v>jamih@normanps.org</v>
      </c>
      <c r="C22" s="3"/>
      <c r="D22" s="3">
        <f ca="1">IFERROR(__xludf.DUMMYFUNCTION("""COMPUTED_VALUE"""),2)</f>
        <v>2</v>
      </c>
      <c r="E22" s="3"/>
      <c r="F22" s="6"/>
      <c r="G22" s="3"/>
      <c r="H22" s="3"/>
      <c r="I22" s="3"/>
      <c r="J22" s="3" t="str">
        <f ca="1">IFERROR(__xludf.DUMMYFUNCTION("""COMPUTED_VALUE"""),"ELA")</f>
        <v>ELA</v>
      </c>
      <c r="K22" s="3" t="str">
        <f ca="1">IFERROR(__xludf.DUMMYFUNCTION("""COMPUTED_VALUE"""),"Fourth")</f>
        <v>Fourth</v>
      </c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IFERROR(__xludf.DUMMYFUNCTION("""COMPUTED_VALUE"""),"Wilson")</f>
        <v>Wilson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f ca="1">IFERROR(__xludf.DUMMYFUNCTION("""COMPUTED_VALUE"""),45615.6984216087)</f>
        <v>45615.6984216087</v>
      </c>
      <c r="B23" s="3" t="str">
        <f ca="1">IFERROR(__xludf.DUMMYFUNCTION("""COMPUTED_VALUE"""),"jamih@normanps.org")</f>
        <v>jamih@normanps.org</v>
      </c>
      <c r="C23" s="3"/>
      <c r="D23" s="3">
        <f ca="1">IFERROR(__xludf.DUMMYFUNCTION("""COMPUTED_VALUE"""),2)</f>
        <v>2</v>
      </c>
      <c r="E23" s="3"/>
      <c r="F23" s="6"/>
      <c r="G23" s="3"/>
      <c r="H23" s="3"/>
      <c r="I23" s="3"/>
      <c r="J23" s="3" t="str">
        <f ca="1">IFERROR(__xludf.DUMMYFUNCTION("""COMPUTED_VALUE"""),"ELA")</f>
        <v>ELA</v>
      </c>
      <c r="K23" s="3" t="str">
        <f ca="1">IFERROR(__xludf.DUMMYFUNCTION("""COMPUTED_VALUE"""),"Fifth")</f>
        <v>Fifth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IFERROR(__xludf.DUMMYFUNCTION("""COMPUTED_VALUE"""),"Wilson")</f>
        <v>Wilson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f ca="1">IFERROR(__xludf.DUMMYFUNCTION("""COMPUTED_VALUE"""),45615.6996992592)</f>
        <v>45615.699699259203</v>
      </c>
      <c r="B24" s="3" t="str">
        <f ca="1">IFERROR(__xludf.DUMMYFUNCTION("""COMPUTED_VALUE"""),"jamih@normanps.org")</f>
        <v>jamih@normanps.org</v>
      </c>
      <c r="C24" s="3"/>
      <c r="D24" s="3">
        <f ca="1">IFERROR(__xludf.DUMMYFUNCTION("""COMPUTED_VALUE"""),3)</f>
        <v>3</v>
      </c>
      <c r="E24" s="3"/>
      <c r="F24" s="6"/>
      <c r="G24" s="3"/>
      <c r="H24" s="3"/>
      <c r="I24" s="3"/>
      <c r="J24" s="3" t="str">
        <f ca="1">IFERROR(__xludf.DUMMYFUNCTION("""COMPUTED_VALUE"""),"Math")</f>
        <v>Math</v>
      </c>
      <c r="K24" s="3" t="str">
        <f ca="1">IFERROR(__xludf.DUMMYFUNCTION("""COMPUTED_VALUE"""),"Fifth")</f>
        <v>Fifth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IFERROR(__xludf.DUMMYFUNCTION("""COMPUTED_VALUE"""),"Wilson")</f>
        <v>Wilson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f ca="1">IFERROR(__xludf.DUMMYFUNCTION("""COMPUTED_VALUE"""),45615.7036986805)</f>
        <v>45615.703698680503</v>
      </c>
      <c r="B25" s="3" t="str">
        <f ca="1">IFERROR(__xludf.DUMMYFUNCTION("""COMPUTED_VALUE"""),"jamih@normanps.org")</f>
        <v>jamih@normanps.org</v>
      </c>
      <c r="C25" s="3"/>
      <c r="D25" s="3">
        <f ca="1">IFERROR(__xludf.DUMMYFUNCTION("""COMPUTED_VALUE"""),1)</f>
        <v>1</v>
      </c>
      <c r="E25" s="3"/>
      <c r="F25" s="6"/>
      <c r="G25" s="3"/>
      <c r="H25" s="3"/>
      <c r="I25" s="3"/>
      <c r="J25" s="3" t="str">
        <f ca="1">IFERROR(__xludf.DUMMYFUNCTION("""COMPUTED_VALUE"""),"Science")</f>
        <v>Science</v>
      </c>
      <c r="K25" s="3" t="str">
        <f ca="1">IFERROR(__xludf.DUMMYFUNCTION("""COMPUTED_VALUE"""),"First")</f>
        <v>First</v>
      </c>
      <c r="L25" s="3"/>
      <c r="M25" s="3"/>
      <c r="N25" s="3"/>
      <c r="O25" s="3"/>
      <c r="P25" s="3"/>
      <c r="Q25" s="3"/>
      <c r="R25" s="3"/>
      <c r="S25" s="3"/>
      <c r="T25" s="3" t="str">
        <f ca="1">IFERROR(__xludf.DUMMYFUNCTION("""COMPUTED_VALUE"""),"Wilson")</f>
        <v>Wilson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f ca="1">IFERROR(__xludf.DUMMYFUNCTION("""COMPUTED_VALUE"""),45615.7039679976)</f>
        <v>45615.703967997601</v>
      </c>
      <c r="B26" s="3" t="str">
        <f ca="1">IFERROR(__xludf.DUMMYFUNCTION("""COMPUTED_VALUE"""),"jamih@normanps.org")</f>
        <v>jamih@normanps.org</v>
      </c>
      <c r="C26" s="3"/>
      <c r="D26" s="3">
        <f ca="1">IFERROR(__xludf.DUMMYFUNCTION("""COMPUTED_VALUE"""),1)</f>
        <v>1</v>
      </c>
      <c r="E26" s="3"/>
      <c r="F26" s="6"/>
      <c r="G26" s="3"/>
      <c r="H26" s="3"/>
      <c r="I26" s="3"/>
      <c r="J26" s="3" t="str">
        <f ca="1">IFERROR(__xludf.DUMMYFUNCTION("""COMPUTED_VALUE"""),"Science")</f>
        <v>Science</v>
      </c>
      <c r="K26" s="3" t="str">
        <f ca="1">IFERROR(__xludf.DUMMYFUNCTION("""COMPUTED_VALUE"""),"Kindergarten")</f>
        <v>Kindergarten</v>
      </c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IFERROR(__xludf.DUMMYFUNCTION("""COMPUTED_VALUE"""),"Wilson")</f>
        <v>Wilson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f ca="1">IFERROR(__xludf.DUMMYFUNCTION("""COMPUTED_VALUE"""),45615.7041793981)</f>
        <v>45615.704179398097</v>
      </c>
      <c r="B27" s="3" t="str">
        <f ca="1">IFERROR(__xludf.DUMMYFUNCTION("""COMPUTED_VALUE"""),"jamih@normanps.org")</f>
        <v>jamih@normanps.org</v>
      </c>
      <c r="C27" s="3"/>
      <c r="D27" s="3">
        <f ca="1">IFERROR(__xludf.DUMMYFUNCTION("""COMPUTED_VALUE"""),2)</f>
        <v>2</v>
      </c>
      <c r="E27" s="3"/>
      <c r="F27" s="6"/>
      <c r="G27" s="3"/>
      <c r="H27" s="3"/>
      <c r="I27" s="3"/>
      <c r="J27" s="3" t="str">
        <f ca="1">IFERROR(__xludf.DUMMYFUNCTION("""COMPUTED_VALUE"""),"Science")</f>
        <v>Science</v>
      </c>
      <c r="K27" s="3" t="str">
        <f ca="1">IFERROR(__xludf.DUMMYFUNCTION("""COMPUTED_VALUE"""),"Second")</f>
        <v>Second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IFERROR(__xludf.DUMMYFUNCTION("""COMPUTED_VALUE"""),"Wilson")</f>
        <v>Wilson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f ca="1">IFERROR(__xludf.DUMMYFUNCTION("""COMPUTED_VALUE"""),45615.7120340509)</f>
        <v>45615.712034050899</v>
      </c>
      <c r="B28" s="3" t="str">
        <f ca="1">IFERROR(__xludf.DUMMYFUNCTION("""COMPUTED_VALUE"""),"jamih@normanps.org")</f>
        <v>jamih@normanps.org</v>
      </c>
      <c r="C28" s="3"/>
      <c r="D28" s="3">
        <f ca="1">IFERROR(__xludf.DUMMYFUNCTION("""COMPUTED_VALUE"""),1)</f>
        <v>1</v>
      </c>
      <c r="E28" s="3"/>
      <c r="F28" s="6"/>
      <c r="G28" s="3"/>
      <c r="H28" s="3"/>
      <c r="I28" s="3"/>
      <c r="J28" s="3" t="str">
        <f ca="1">IFERROR(__xludf.DUMMYFUNCTION("""COMPUTED_VALUE"""),"Science")</f>
        <v>Science</v>
      </c>
      <c r="K28" s="3" t="str">
        <f ca="1">IFERROR(__xludf.DUMMYFUNCTION("""COMPUTED_VALUE"""),"Kindergarten")</f>
        <v>Kindergarten</v>
      </c>
      <c r="L28" s="3"/>
      <c r="M28" s="3"/>
      <c r="N28" s="3"/>
      <c r="O28" s="3"/>
      <c r="P28" s="3"/>
      <c r="Q28" s="3"/>
      <c r="R28" s="3"/>
      <c r="S28" s="3"/>
      <c r="T28" s="3" t="str">
        <f ca="1">IFERROR(__xludf.DUMMYFUNCTION("""COMPUTED_VALUE"""),"Wilson")</f>
        <v>Wilson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f ca="1">IFERROR(__xludf.DUMMYFUNCTION("""COMPUTED_VALUE"""),45615.7122624884)</f>
        <v>45615.7122624884</v>
      </c>
      <c r="B29" s="3" t="str">
        <f ca="1">IFERROR(__xludf.DUMMYFUNCTION("""COMPUTED_VALUE"""),"jamih@normanps.org")</f>
        <v>jamih@normanps.org</v>
      </c>
      <c r="C29" s="3"/>
      <c r="D29" s="3">
        <f ca="1">IFERROR(__xludf.DUMMYFUNCTION("""COMPUTED_VALUE"""),2)</f>
        <v>2</v>
      </c>
      <c r="E29" s="3"/>
      <c r="F29" s="6"/>
      <c r="G29" s="3"/>
      <c r="H29" s="3"/>
      <c r="I29" s="3"/>
      <c r="J29" s="3" t="str">
        <f ca="1">IFERROR(__xludf.DUMMYFUNCTION("""COMPUTED_VALUE"""),"Social Studies")</f>
        <v>Social Studies</v>
      </c>
      <c r="K29" s="3" t="str">
        <f ca="1">IFERROR(__xludf.DUMMYFUNCTION("""COMPUTED_VALUE"""),"Fourth")</f>
        <v>Fourth</v>
      </c>
      <c r="L29" s="3"/>
      <c r="M29" s="3"/>
      <c r="N29" s="3"/>
      <c r="O29" s="3"/>
      <c r="P29" s="3"/>
      <c r="Q29" s="3"/>
      <c r="R29" s="3"/>
      <c r="S29" s="3"/>
      <c r="T29" s="3" t="str">
        <f ca="1">IFERROR(__xludf.DUMMYFUNCTION("""COMPUTED_VALUE"""),"Wilson")</f>
        <v>Wilson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f ca="1">IFERROR(__xludf.DUMMYFUNCTION("""COMPUTED_VALUE"""),45615.7126553703)</f>
        <v>45615.712655370298</v>
      </c>
      <c r="B30" s="3" t="str">
        <f ca="1">IFERROR(__xludf.DUMMYFUNCTION("""COMPUTED_VALUE"""),"jamih@normanps.org")</f>
        <v>jamih@normanps.org</v>
      </c>
      <c r="C30" s="3"/>
      <c r="D30" s="3">
        <f ca="1">IFERROR(__xludf.DUMMYFUNCTION("""COMPUTED_VALUE"""),2)</f>
        <v>2</v>
      </c>
      <c r="E30" s="3"/>
      <c r="F30" s="6"/>
      <c r="G30" s="3"/>
      <c r="H30" s="3"/>
      <c r="I30" s="3"/>
      <c r="J30" s="3" t="str">
        <f ca="1">IFERROR(__xludf.DUMMYFUNCTION("""COMPUTED_VALUE"""),"Science")</f>
        <v>Science</v>
      </c>
      <c r="K30" s="3" t="str">
        <f ca="1">IFERROR(__xludf.DUMMYFUNCTION("""COMPUTED_VALUE"""),"Second")</f>
        <v>Second</v>
      </c>
      <c r="L30" s="3"/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IFERROR(__xludf.DUMMYFUNCTION("""COMPUTED_VALUE"""),"Wilson")</f>
        <v>Wilson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f ca="1">IFERROR(__xludf.DUMMYFUNCTION("""COMPUTED_VALUE"""),45615.7129233796)</f>
        <v>45615.7129233796</v>
      </c>
      <c r="B31" s="3" t="str">
        <f ca="1">IFERROR(__xludf.DUMMYFUNCTION("""COMPUTED_VALUE"""),"jamih@normanps.org")</f>
        <v>jamih@normanps.org</v>
      </c>
      <c r="C31" s="3"/>
      <c r="D31" s="3">
        <f ca="1">IFERROR(__xludf.DUMMYFUNCTION("""COMPUTED_VALUE"""),2)</f>
        <v>2</v>
      </c>
      <c r="E31" s="3"/>
      <c r="F31" s="6"/>
      <c r="G31" s="3"/>
      <c r="H31" s="3"/>
      <c r="I31" s="3"/>
      <c r="J31" s="3" t="str">
        <f ca="1">IFERROR(__xludf.DUMMYFUNCTION("""COMPUTED_VALUE"""),"Social Studies")</f>
        <v>Social Studies</v>
      </c>
      <c r="K31" s="3" t="str">
        <f ca="1">IFERROR(__xludf.DUMMYFUNCTION("""COMPUTED_VALUE"""),"Third")</f>
        <v>Third</v>
      </c>
      <c r="L31" s="3"/>
      <c r="M31" s="3"/>
      <c r="N31" s="3"/>
      <c r="O31" s="3"/>
      <c r="P31" s="3"/>
      <c r="Q31" s="3"/>
      <c r="R31" s="3"/>
      <c r="S31" s="3"/>
      <c r="T31" s="3" t="str">
        <f ca="1">IFERROR(__xludf.DUMMYFUNCTION("""COMPUTED_VALUE"""),"Wilson")</f>
        <v>Wilson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f ca="1">IFERROR(__xludf.DUMMYFUNCTION("""COMPUTED_VALUE"""),45615.7131661458)</f>
        <v>45615.713166145797</v>
      </c>
      <c r="B32" s="3" t="str">
        <f ca="1">IFERROR(__xludf.DUMMYFUNCTION("""COMPUTED_VALUE"""),"jamih@normanps.org")</f>
        <v>jamih@normanps.org</v>
      </c>
      <c r="C32" s="3"/>
      <c r="D32" s="3">
        <f ca="1">IFERROR(__xludf.DUMMYFUNCTION("""COMPUTED_VALUE"""),1)</f>
        <v>1</v>
      </c>
      <c r="E32" s="3"/>
      <c r="F32" s="6"/>
      <c r="G32" s="3"/>
      <c r="H32" s="3"/>
      <c r="I32" s="3"/>
      <c r="J32" s="3" t="str">
        <f ca="1">IFERROR(__xludf.DUMMYFUNCTION("""COMPUTED_VALUE"""),"ELA")</f>
        <v>ELA</v>
      </c>
      <c r="K32" s="3" t="str">
        <f ca="1">IFERROR(__xludf.DUMMYFUNCTION("""COMPUTED_VALUE"""),"Prek")</f>
        <v>Prek</v>
      </c>
      <c r="L32" s="3"/>
      <c r="M32" s="3"/>
      <c r="N32" s="3"/>
      <c r="O32" s="3"/>
      <c r="P32" s="3"/>
      <c r="Q32" s="3"/>
      <c r="R32" s="3"/>
      <c r="S32" s="3"/>
      <c r="T32" s="3" t="str">
        <f ca="1">IFERROR(__xludf.DUMMYFUNCTION("""COMPUTED_VALUE"""),"Wilson")</f>
        <v>Wilson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f ca="1">IFERROR(__xludf.DUMMYFUNCTION("""COMPUTED_VALUE"""),45615.7133630555)</f>
        <v>45615.713363055504</v>
      </c>
      <c r="B33" s="3" t="str">
        <f ca="1">IFERROR(__xludf.DUMMYFUNCTION("""COMPUTED_VALUE"""),"jamih@normanps.org")</f>
        <v>jamih@normanps.org</v>
      </c>
      <c r="C33" s="3"/>
      <c r="D33" s="3">
        <f ca="1">IFERROR(__xludf.DUMMYFUNCTION("""COMPUTED_VALUE"""),2)</f>
        <v>2</v>
      </c>
      <c r="E33" s="3"/>
      <c r="F33" s="6"/>
      <c r="G33" s="3"/>
      <c r="H33" s="3"/>
      <c r="I33" s="3"/>
      <c r="J33" s="3" t="str">
        <f ca="1">IFERROR(__xludf.DUMMYFUNCTION("""COMPUTED_VALUE"""),"ELA")</f>
        <v>ELA</v>
      </c>
      <c r="K33" s="3" t="str">
        <f ca="1">IFERROR(__xludf.DUMMYFUNCTION("""COMPUTED_VALUE"""),"Autism/SPED multi-level elementary")</f>
        <v>Autism/SPED multi-level elementary</v>
      </c>
      <c r="L33" s="3"/>
      <c r="M33" s="3"/>
      <c r="N33" s="3"/>
      <c r="O33" s="3"/>
      <c r="P33" s="3"/>
      <c r="Q33" s="3"/>
      <c r="R33" s="3"/>
      <c r="S33" s="3"/>
      <c r="T33" s="3" t="str">
        <f ca="1">IFERROR(__xludf.DUMMYFUNCTION("""COMPUTED_VALUE"""),"Wilson")</f>
        <v>Wilson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f ca="1">IFERROR(__xludf.DUMMYFUNCTION("""COMPUTED_VALUE"""),45615.7136704166)</f>
        <v>45615.713670416597</v>
      </c>
      <c r="B34" s="3" t="str">
        <f ca="1">IFERROR(__xludf.DUMMYFUNCTION("""COMPUTED_VALUE"""),"jamih@normanps.org")</f>
        <v>jamih@normanps.org</v>
      </c>
      <c r="C34" s="3"/>
      <c r="D34" s="3">
        <f ca="1">IFERROR(__xludf.DUMMYFUNCTION("""COMPUTED_VALUE"""),1)</f>
        <v>1</v>
      </c>
      <c r="E34" s="3"/>
      <c r="F34" s="6"/>
      <c r="G34" s="3"/>
      <c r="H34" s="3"/>
      <c r="I34" s="3"/>
      <c r="J34" s="3" t="str">
        <f ca="1">IFERROR(__xludf.DUMMYFUNCTION("""COMPUTED_VALUE"""),"Science")</f>
        <v>Science</v>
      </c>
      <c r="K34" s="3" t="str">
        <f ca="1">IFERROR(__xludf.DUMMYFUNCTION("""COMPUTED_VALUE"""),"Kindergarten")</f>
        <v>Kindergarten</v>
      </c>
      <c r="L34" s="3"/>
      <c r="M34" s="3"/>
      <c r="N34" s="3"/>
      <c r="O34" s="3"/>
      <c r="P34" s="3"/>
      <c r="Q34" s="3"/>
      <c r="R34" s="3"/>
      <c r="S34" s="3"/>
      <c r="T34" s="3" t="str">
        <f ca="1">IFERROR(__xludf.DUMMYFUNCTION("""COMPUTED_VALUE"""),"Wilson")</f>
        <v>Wilson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f ca="1">IFERROR(__xludf.DUMMYFUNCTION("""COMPUTED_VALUE"""),45615.7139804861)</f>
        <v>45615.7139804861</v>
      </c>
      <c r="B35" s="3" t="str">
        <f ca="1">IFERROR(__xludf.DUMMYFUNCTION("""COMPUTED_VALUE"""),"jamih@normanps.org")</f>
        <v>jamih@normanps.org</v>
      </c>
      <c r="C35" s="3"/>
      <c r="D35" s="3">
        <f ca="1">IFERROR(__xludf.DUMMYFUNCTION("""COMPUTED_VALUE"""),1)</f>
        <v>1</v>
      </c>
      <c r="E35" s="3"/>
      <c r="F35" s="6"/>
      <c r="G35" s="3"/>
      <c r="H35" s="3"/>
      <c r="I35" s="3"/>
      <c r="J35" s="3" t="str">
        <f ca="1">IFERROR(__xludf.DUMMYFUNCTION("""COMPUTED_VALUE"""),"Social Studies")</f>
        <v>Social Studies</v>
      </c>
      <c r="K35" s="3" t="str">
        <f ca="1">IFERROR(__xludf.DUMMYFUNCTION("""COMPUTED_VALUE"""),"First")</f>
        <v>First</v>
      </c>
      <c r="L35" s="3"/>
      <c r="M35" s="3"/>
      <c r="N35" s="3"/>
      <c r="O35" s="3"/>
      <c r="P35" s="3"/>
      <c r="Q35" s="3"/>
      <c r="R35" s="3"/>
      <c r="S35" s="3"/>
      <c r="T35" s="3" t="str">
        <f ca="1">IFERROR(__xludf.DUMMYFUNCTION("""COMPUTED_VALUE"""),"Wilson")</f>
        <v>Wilson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f ca="1">IFERROR(__xludf.DUMMYFUNCTION("""COMPUTED_VALUE"""),45615.7142241088)</f>
        <v>45615.7142241088</v>
      </c>
      <c r="B36" s="3" t="str">
        <f ca="1">IFERROR(__xludf.DUMMYFUNCTION("""COMPUTED_VALUE"""),"jamih@normanps.org")</f>
        <v>jamih@normanps.org</v>
      </c>
      <c r="C36" s="3"/>
      <c r="D36" s="3">
        <f ca="1">IFERROR(__xludf.DUMMYFUNCTION("""COMPUTED_VALUE"""),2)</f>
        <v>2</v>
      </c>
      <c r="E36" s="3"/>
      <c r="F36" s="6"/>
      <c r="G36" s="3"/>
      <c r="H36" s="3"/>
      <c r="I36" s="3"/>
      <c r="J36" s="3" t="str">
        <f ca="1">IFERROR(__xludf.DUMMYFUNCTION("""COMPUTED_VALUE"""),"Social Studies")</f>
        <v>Social Studies</v>
      </c>
      <c r="K36" s="3" t="str">
        <f ca="1">IFERROR(__xludf.DUMMYFUNCTION("""COMPUTED_VALUE"""),"Fourth")</f>
        <v>Fourth</v>
      </c>
      <c r="L36" s="3"/>
      <c r="M36" s="3"/>
      <c r="N36" s="3"/>
      <c r="O36" s="3"/>
      <c r="P36" s="3"/>
      <c r="Q36" s="3"/>
      <c r="R36" s="3"/>
      <c r="S36" s="3"/>
      <c r="T36" s="3" t="str">
        <f ca="1">IFERROR(__xludf.DUMMYFUNCTION("""COMPUTED_VALUE"""),"Wilson")</f>
        <v>Wilson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f ca="1">IFERROR(__xludf.DUMMYFUNCTION("""COMPUTED_VALUE"""),45615.7144777777)</f>
        <v>45615.714477777699</v>
      </c>
      <c r="B37" s="3" t="str">
        <f ca="1">IFERROR(__xludf.DUMMYFUNCTION("""COMPUTED_VALUE"""),"jamih@normanps.org")</f>
        <v>jamih@normanps.org</v>
      </c>
      <c r="C37" s="3"/>
      <c r="D37" s="3">
        <f ca="1">IFERROR(__xludf.DUMMYFUNCTION("""COMPUTED_VALUE"""),2)</f>
        <v>2</v>
      </c>
      <c r="E37" s="3"/>
      <c r="F37" s="6"/>
      <c r="G37" s="3"/>
      <c r="H37" s="3"/>
      <c r="I37" s="3"/>
      <c r="J37" s="3" t="str">
        <f ca="1">IFERROR(__xludf.DUMMYFUNCTION("""COMPUTED_VALUE"""),"Science")</f>
        <v>Science</v>
      </c>
      <c r="K37" s="3" t="str">
        <f ca="1">IFERROR(__xludf.DUMMYFUNCTION("""COMPUTED_VALUE"""),"Second")</f>
        <v>Second</v>
      </c>
      <c r="L37" s="3"/>
      <c r="M37" s="3"/>
      <c r="N37" s="3"/>
      <c r="O37" s="3"/>
      <c r="P37" s="3"/>
      <c r="Q37" s="3"/>
      <c r="R37" s="3"/>
      <c r="S37" s="3"/>
      <c r="T37" s="3" t="str">
        <f ca="1">IFERROR(__xludf.DUMMYFUNCTION("""COMPUTED_VALUE"""),"Wilson")</f>
        <v>Wilson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f ca="1">IFERROR(__xludf.DUMMYFUNCTION("""COMPUTED_VALUE"""),45615.7147311689)</f>
        <v>45615.714731168897</v>
      </c>
      <c r="B38" s="3" t="str">
        <f ca="1">IFERROR(__xludf.DUMMYFUNCTION("""COMPUTED_VALUE"""),"jamih@normanps.org")</f>
        <v>jamih@normanps.org</v>
      </c>
      <c r="C38" s="3"/>
      <c r="D38" s="3">
        <f ca="1">IFERROR(__xludf.DUMMYFUNCTION("""COMPUTED_VALUE"""),2)</f>
        <v>2</v>
      </c>
      <c r="E38" s="3"/>
      <c r="F38" s="6"/>
      <c r="G38" s="3"/>
      <c r="H38" s="3"/>
      <c r="I38" s="3"/>
      <c r="J38" s="3" t="str">
        <f ca="1">IFERROR(__xludf.DUMMYFUNCTION("""COMPUTED_VALUE"""),"Social Studies")</f>
        <v>Social Studies</v>
      </c>
      <c r="K38" s="3" t="str">
        <f ca="1">IFERROR(__xludf.DUMMYFUNCTION("""COMPUTED_VALUE"""),"Third")</f>
        <v>Third</v>
      </c>
      <c r="L38" s="3"/>
      <c r="M38" s="3"/>
      <c r="N38" s="3"/>
      <c r="O38" s="3"/>
      <c r="P38" s="3"/>
      <c r="Q38" s="3"/>
      <c r="R38" s="3"/>
      <c r="S38" s="3"/>
      <c r="T38" s="3" t="str">
        <f ca="1">IFERROR(__xludf.DUMMYFUNCTION("""COMPUTED_VALUE"""),"Wilson")</f>
        <v>Wilson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f ca="1">IFERROR(__xludf.DUMMYFUNCTION("""COMPUTED_VALUE"""),45615.7149705555)</f>
        <v>45615.714970555498</v>
      </c>
      <c r="B39" s="3" t="str">
        <f ca="1">IFERROR(__xludf.DUMMYFUNCTION("""COMPUTED_VALUE"""),"jamih@normanps.org")</f>
        <v>jamih@normanps.org</v>
      </c>
      <c r="C39" s="3"/>
      <c r="D39" s="3">
        <f ca="1">IFERROR(__xludf.DUMMYFUNCTION("""COMPUTED_VALUE"""),2)</f>
        <v>2</v>
      </c>
      <c r="E39" s="3"/>
      <c r="F39" s="6"/>
      <c r="G39" s="3"/>
      <c r="H39" s="3"/>
      <c r="I39" s="3"/>
      <c r="J39" s="3" t="str">
        <f ca="1">IFERROR(__xludf.DUMMYFUNCTION("""COMPUTED_VALUE"""),"Social Studies")</f>
        <v>Social Studies</v>
      </c>
      <c r="K39" s="3" t="str">
        <f ca="1">IFERROR(__xludf.DUMMYFUNCTION("""COMPUTED_VALUE"""),"Fifth")</f>
        <v>Fifth</v>
      </c>
      <c r="L39" s="3"/>
      <c r="M39" s="3"/>
      <c r="N39" s="3"/>
      <c r="O39" s="3"/>
      <c r="P39" s="3"/>
      <c r="Q39" s="3"/>
      <c r="R39" s="3"/>
      <c r="S39" s="3"/>
      <c r="T39" s="3" t="str">
        <f ca="1">IFERROR(__xludf.DUMMYFUNCTION("""COMPUTED_VALUE"""),"Wilson")</f>
        <v>Wilson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f ca="1">IFERROR(__xludf.DUMMYFUNCTION("""COMPUTED_VALUE"""),45615.7152225578)</f>
        <v>45615.715222557803</v>
      </c>
      <c r="B40" s="3" t="str">
        <f ca="1">IFERROR(__xludf.DUMMYFUNCTION("""COMPUTED_VALUE"""),"jamih@normanps.org")</f>
        <v>jamih@normanps.org</v>
      </c>
      <c r="C40" s="3"/>
      <c r="D40" s="3">
        <f ca="1">IFERROR(__xludf.DUMMYFUNCTION("""COMPUTED_VALUE"""),1)</f>
        <v>1</v>
      </c>
      <c r="E40" s="3"/>
      <c r="F40" s="6"/>
      <c r="G40" s="3"/>
      <c r="H40" s="3"/>
      <c r="I40" s="3"/>
      <c r="J40" s="3" t="str">
        <f ca="1">IFERROR(__xludf.DUMMYFUNCTION("""COMPUTED_VALUE"""),"ELA")</f>
        <v>ELA</v>
      </c>
      <c r="K40" s="3" t="str">
        <f ca="1">IFERROR(__xludf.DUMMYFUNCTION("""COMPUTED_VALUE"""),"Prek")</f>
        <v>Prek</v>
      </c>
      <c r="L40" s="3"/>
      <c r="M40" s="3"/>
      <c r="N40" s="3"/>
      <c r="O40" s="3"/>
      <c r="P40" s="3"/>
      <c r="Q40" s="3"/>
      <c r="R40" s="3"/>
      <c r="S40" s="3"/>
      <c r="T40" s="3" t="str">
        <f ca="1">IFERROR(__xludf.DUMMYFUNCTION("""COMPUTED_VALUE"""),"Wilson")</f>
        <v>Wilson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f ca="1">IFERROR(__xludf.DUMMYFUNCTION("""COMPUTED_VALUE"""),45615.7169609259)</f>
        <v>45615.7169609259</v>
      </c>
      <c r="B41" s="3" t="str">
        <f ca="1">IFERROR(__xludf.DUMMYFUNCTION("""COMPUTED_VALUE"""),"jamih@normanps.org")</f>
        <v>jamih@normanps.org</v>
      </c>
      <c r="C41" s="3"/>
      <c r="D41" s="3">
        <f ca="1">IFERROR(__xludf.DUMMYFUNCTION("""COMPUTED_VALUE"""),1)</f>
        <v>1</v>
      </c>
      <c r="E41" s="3"/>
      <c r="F41" s="6"/>
      <c r="G41" s="3"/>
      <c r="H41" s="3"/>
      <c r="I41" s="3"/>
      <c r="J41" s="3" t="str">
        <f ca="1">IFERROR(__xludf.DUMMYFUNCTION("""COMPUTED_VALUE"""),"Science")</f>
        <v>Science</v>
      </c>
      <c r="K41" s="3" t="str">
        <f ca="1">IFERROR(__xludf.DUMMYFUNCTION("""COMPUTED_VALUE"""),"Kindergarten")</f>
        <v>Kindergarten</v>
      </c>
      <c r="L41" s="3"/>
      <c r="M41" s="3"/>
      <c r="N41" s="3"/>
      <c r="O41" s="3"/>
      <c r="P41" s="3"/>
      <c r="Q41" s="3"/>
      <c r="R41" s="3"/>
      <c r="S41" s="3"/>
      <c r="T41" s="3" t="str">
        <f ca="1">IFERROR(__xludf.DUMMYFUNCTION("""COMPUTED_VALUE"""),"Wilson")</f>
        <v>Wilson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f ca="1">IFERROR(__xludf.DUMMYFUNCTION("""COMPUTED_VALUE"""),45615.7171900462)</f>
        <v>45615.717190046198</v>
      </c>
      <c r="B42" s="3" t="str">
        <f ca="1">IFERROR(__xludf.DUMMYFUNCTION("""COMPUTED_VALUE"""),"jamih@normanps.org")</f>
        <v>jamih@normanps.org</v>
      </c>
      <c r="C42" s="3"/>
      <c r="D42" s="3">
        <f ca="1">IFERROR(__xludf.DUMMYFUNCTION("""COMPUTED_VALUE"""),1)</f>
        <v>1</v>
      </c>
      <c r="E42" s="3"/>
      <c r="F42" s="6"/>
      <c r="G42" s="3"/>
      <c r="H42" s="3"/>
      <c r="I42" s="3"/>
      <c r="J42" s="3" t="str">
        <f ca="1">IFERROR(__xludf.DUMMYFUNCTION("""COMPUTED_VALUE"""),"Social Studies")</f>
        <v>Social Studies</v>
      </c>
      <c r="K42" s="3" t="str">
        <f ca="1">IFERROR(__xludf.DUMMYFUNCTION("""COMPUTED_VALUE"""),"First")</f>
        <v>First</v>
      </c>
      <c r="L42" s="3"/>
      <c r="M42" s="3"/>
      <c r="N42" s="3"/>
      <c r="O42" s="3"/>
      <c r="P42" s="3"/>
      <c r="Q42" s="3"/>
      <c r="R42" s="3"/>
      <c r="S42" s="3"/>
      <c r="T42" s="3" t="str">
        <f ca="1">IFERROR(__xludf.DUMMYFUNCTION("""COMPUTED_VALUE"""),"Wilson")</f>
        <v>Wilson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f ca="1">IFERROR(__xludf.DUMMYFUNCTION("""COMPUTED_VALUE"""),45615.7174023263)</f>
        <v>45615.7174023263</v>
      </c>
      <c r="B43" s="3" t="str">
        <f ca="1">IFERROR(__xludf.DUMMYFUNCTION("""COMPUTED_VALUE"""),"jamih@normanps.org")</f>
        <v>jamih@normanps.org</v>
      </c>
      <c r="C43" s="3"/>
      <c r="D43" s="3">
        <f ca="1">IFERROR(__xludf.DUMMYFUNCTION("""COMPUTED_VALUE"""),2)</f>
        <v>2</v>
      </c>
      <c r="E43" s="3"/>
      <c r="F43" s="6"/>
      <c r="G43" s="3"/>
      <c r="H43" s="3"/>
      <c r="I43" s="3"/>
      <c r="J43" s="3" t="str">
        <f ca="1">IFERROR(__xludf.DUMMYFUNCTION("""COMPUTED_VALUE"""),"Social Studies")</f>
        <v>Social Studies</v>
      </c>
      <c r="K43" s="3" t="str">
        <f ca="1">IFERROR(__xludf.DUMMYFUNCTION("""COMPUTED_VALUE"""),"Fourth")</f>
        <v>Fourth</v>
      </c>
      <c r="L43" s="3"/>
      <c r="M43" s="3"/>
      <c r="N43" s="3"/>
      <c r="O43" s="3"/>
      <c r="P43" s="3"/>
      <c r="Q43" s="3"/>
      <c r="R43" s="3"/>
      <c r="S43" s="3"/>
      <c r="T43" s="3" t="str">
        <f ca="1">IFERROR(__xludf.DUMMYFUNCTION("""COMPUTED_VALUE"""),"Wilson")</f>
        <v>Wilson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2">
        <f ca="1">IFERROR(__xludf.DUMMYFUNCTION("""COMPUTED_VALUE"""),45615.7176642245)</f>
        <v>45615.717664224503</v>
      </c>
      <c r="B44" s="3" t="str">
        <f ca="1">IFERROR(__xludf.DUMMYFUNCTION("""COMPUTED_VALUE"""),"jamih@normanps.org")</f>
        <v>jamih@normanps.org</v>
      </c>
      <c r="C44" s="3"/>
      <c r="D44" s="3">
        <f ca="1">IFERROR(__xludf.DUMMYFUNCTION("""COMPUTED_VALUE"""),2)</f>
        <v>2</v>
      </c>
      <c r="E44" s="3"/>
      <c r="F44" s="6"/>
      <c r="G44" s="3"/>
      <c r="H44" s="3"/>
      <c r="I44" s="3"/>
      <c r="J44" s="3" t="str">
        <f ca="1">IFERROR(__xludf.DUMMYFUNCTION("""COMPUTED_VALUE"""),"Social Studies")</f>
        <v>Social Studies</v>
      </c>
      <c r="K44" s="3" t="str">
        <f ca="1">IFERROR(__xludf.DUMMYFUNCTION("""COMPUTED_VALUE"""),"Third")</f>
        <v>Third</v>
      </c>
      <c r="L44" s="3"/>
      <c r="M44" s="3"/>
      <c r="N44" s="3"/>
      <c r="O44" s="3"/>
      <c r="P44" s="3"/>
      <c r="Q44" s="3"/>
      <c r="R44" s="3"/>
      <c r="S44" s="3"/>
      <c r="T44" s="3" t="str">
        <f ca="1">IFERROR(__xludf.DUMMYFUNCTION("""COMPUTED_VALUE"""),"Wilson")</f>
        <v>Wilson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2">
        <f ca="1">IFERROR(__xludf.DUMMYFUNCTION("""COMPUTED_VALUE"""),45615.717904699)</f>
        <v>45615.717904698999</v>
      </c>
      <c r="B45" s="3" t="str">
        <f ca="1">IFERROR(__xludf.DUMMYFUNCTION("""COMPUTED_VALUE"""),"jamih@normanps.org")</f>
        <v>jamih@normanps.org</v>
      </c>
      <c r="C45" s="3"/>
      <c r="D45" s="3">
        <f ca="1">IFERROR(__xludf.DUMMYFUNCTION("""COMPUTED_VALUE"""),2)</f>
        <v>2</v>
      </c>
      <c r="E45" s="3"/>
      <c r="F45" s="6"/>
      <c r="G45" s="3"/>
      <c r="H45" s="3"/>
      <c r="I45" s="3"/>
      <c r="J45" s="3" t="str">
        <f ca="1">IFERROR(__xludf.DUMMYFUNCTION("""COMPUTED_VALUE"""),"Science")</f>
        <v>Science</v>
      </c>
      <c r="K45" s="3" t="str">
        <f ca="1">IFERROR(__xludf.DUMMYFUNCTION("""COMPUTED_VALUE"""),"Second")</f>
        <v>Second</v>
      </c>
      <c r="L45" s="3"/>
      <c r="M45" s="3"/>
      <c r="N45" s="3"/>
      <c r="O45" s="3"/>
      <c r="P45" s="3"/>
      <c r="Q45" s="3"/>
      <c r="R45" s="3"/>
      <c r="S45" s="3"/>
      <c r="T45" s="3" t="str">
        <f ca="1">IFERROR(__xludf.DUMMYFUNCTION("""COMPUTED_VALUE"""),"Wilson")</f>
        <v>Wilson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2">
        <f ca="1">IFERROR(__xludf.DUMMYFUNCTION("""COMPUTED_VALUE"""),45615.7181339583)</f>
        <v>45615.718133958297</v>
      </c>
      <c r="B46" s="3" t="str">
        <f ca="1">IFERROR(__xludf.DUMMYFUNCTION("""COMPUTED_VALUE"""),"jamih@normanps.org")</f>
        <v>jamih@normanps.org</v>
      </c>
      <c r="C46" s="3"/>
      <c r="D46" s="3">
        <f ca="1">IFERROR(__xludf.DUMMYFUNCTION("""COMPUTED_VALUE"""),2)</f>
        <v>2</v>
      </c>
      <c r="E46" s="3"/>
      <c r="F46" s="6"/>
      <c r="G46" s="3"/>
      <c r="H46" s="3"/>
      <c r="I46" s="3"/>
      <c r="J46" s="3" t="str">
        <f ca="1">IFERROR(__xludf.DUMMYFUNCTION("""COMPUTED_VALUE"""),"Social Studies")</f>
        <v>Social Studies</v>
      </c>
      <c r="K46" s="3" t="str">
        <f ca="1">IFERROR(__xludf.DUMMYFUNCTION("""COMPUTED_VALUE"""),"Fifth")</f>
        <v>Fifth</v>
      </c>
      <c r="L46" s="3"/>
      <c r="M46" s="3"/>
      <c r="N46" s="3"/>
      <c r="O46" s="3"/>
      <c r="P46" s="3"/>
      <c r="Q46" s="3"/>
      <c r="R46" s="3"/>
      <c r="S46" s="3"/>
      <c r="T46" s="3" t="str">
        <f ca="1">IFERROR(__xludf.DUMMYFUNCTION("""COMPUTED_VALUE"""),"Wilson")</f>
        <v>Wilson</v>
      </c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2">
        <f ca="1">IFERROR(__xludf.DUMMYFUNCTION("""COMPUTED_VALUE"""),45615.7183153819)</f>
        <v>45615.718315381899</v>
      </c>
      <c r="B47" s="3" t="str">
        <f ca="1">IFERROR(__xludf.DUMMYFUNCTION("""COMPUTED_VALUE"""),"jamih@normanps.org")</f>
        <v>jamih@normanps.org</v>
      </c>
      <c r="C47" s="3"/>
      <c r="D47" s="3">
        <f ca="1">IFERROR(__xludf.DUMMYFUNCTION("""COMPUTED_VALUE"""),1)</f>
        <v>1</v>
      </c>
      <c r="E47" s="3"/>
      <c r="F47" s="6"/>
      <c r="G47" s="3"/>
      <c r="H47" s="3"/>
      <c r="I47" s="3"/>
      <c r="J47" s="3" t="str">
        <f ca="1">IFERROR(__xludf.DUMMYFUNCTION("""COMPUTED_VALUE"""),"ELA")</f>
        <v>ELA</v>
      </c>
      <c r="K47" s="3" t="str">
        <f ca="1">IFERROR(__xludf.DUMMYFUNCTION("""COMPUTED_VALUE"""),"Prek")</f>
        <v>Prek</v>
      </c>
      <c r="L47" s="3"/>
      <c r="M47" s="3"/>
      <c r="N47" s="3"/>
      <c r="O47" s="3"/>
      <c r="P47" s="3"/>
      <c r="Q47" s="3"/>
      <c r="R47" s="3"/>
      <c r="S47" s="3"/>
      <c r="T47" s="3" t="str">
        <f ca="1">IFERROR(__xludf.DUMMYFUNCTION("""COMPUTED_VALUE"""),"Wilson")</f>
        <v>Wilson</v>
      </c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2">
        <f ca="1">IFERROR(__xludf.DUMMYFUNCTION("""COMPUTED_VALUE"""),45615.7185259722)</f>
        <v>45615.718525972203</v>
      </c>
      <c r="B48" s="3" t="str">
        <f ca="1">IFERROR(__xludf.DUMMYFUNCTION("""COMPUTED_VALUE"""),"jamih@normanps.org")</f>
        <v>jamih@normanps.org</v>
      </c>
      <c r="C48" s="3"/>
      <c r="D48" s="3">
        <f ca="1">IFERROR(__xludf.DUMMYFUNCTION("""COMPUTED_VALUE"""),2)</f>
        <v>2</v>
      </c>
      <c r="E48" s="3"/>
      <c r="F48" s="6"/>
      <c r="G48" s="3"/>
      <c r="H48" s="3"/>
      <c r="I48" s="3"/>
      <c r="J48" s="3" t="str">
        <f ca="1">IFERROR(__xludf.DUMMYFUNCTION("""COMPUTED_VALUE"""),"ELA")</f>
        <v>ELA</v>
      </c>
      <c r="K48" s="3" t="str">
        <f ca="1">IFERROR(__xludf.DUMMYFUNCTION("""COMPUTED_VALUE"""),"Autism/SPED multi-level elementary")</f>
        <v>Autism/SPED multi-level elementary</v>
      </c>
      <c r="L48" s="3"/>
      <c r="M48" s="3"/>
      <c r="N48" s="3"/>
      <c r="O48" s="3"/>
      <c r="P48" s="3"/>
      <c r="Q48" s="3"/>
      <c r="R48" s="3"/>
      <c r="S48" s="3"/>
      <c r="T48" s="3" t="str">
        <f ca="1">IFERROR(__xludf.DUMMYFUNCTION("""COMPUTED_VALUE"""),"Wilson")</f>
        <v>Wilson</v>
      </c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2">
        <f ca="1">IFERROR(__xludf.DUMMYFUNCTION("""COMPUTED_VALUE"""),45615.7201863888)</f>
        <v>45615.720186388797</v>
      </c>
      <c r="B49" s="3" t="str">
        <f ca="1">IFERROR(__xludf.DUMMYFUNCTION("""COMPUTED_VALUE"""),"jamih@normanps.org")</f>
        <v>jamih@normanps.org</v>
      </c>
      <c r="C49" s="3"/>
      <c r="D49" s="3">
        <f ca="1">IFERROR(__xludf.DUMMYFUNCTION("""COMPUTED_VALUE"""),1)</f>
        <v>1</v>
      </c>
      <c r="E49" s="3"/>
      <c r="F49" s="6"/>
      <c r="G49" s="3"/>
      <c r="H49" s="3"/>
      <c r="I49" s="3"/>
      <c r="J49" s="3" t="str">
        <f ca="1">IFERROR(__xludf.DUMMYFUNCTION("""COMPUTED_VALUE"""),"ELA")</f>
        <v>ELA</v>
      </c>
      <c r="K49" s="3" t="str">
        <f ca="1">IFERROR(__xludf.DUMMYFUNCTION("""COMPUTED_VALUE"""),"Kindergarten")</f>
        <v>Kindergarten</v>
      </c>
      <c r="L49" s="3"/>
      <c r="M49" s="3"/>
      <c r="N49" s="3"/>
      <c r="O49" s="3"/>
      <c r="P49" s="3"/>
      <c r="Q49" s="3"/>
      <c r="R49" s="3"/>
      <c r="S49" s="3"/>
      <c r="T49" s="3" t="str">
        <f ca="1">IFERROR(__xludf.DUMMYFUNCTION("""COMPUTED_VALUE"""),"Wilson")</f>
        <v>Wilson</v>
      </c>
      <c r="U49" s="3"/>
      <c r="V49" s="3"/>
      <c r="W49" s="3"/>
      <c r="X49" s="3"/>
      <c r="Y49" s="3"/>
      <c r="Z49" s="3"/>
      <c r="AA49" s="3"/>
      <c r="AB49" s="3"/>
      <c r="AC49" s="3"/>
    </row>
    <row r="50" spans="1:29" ht="13" x14ac:dyDescent="0.15">
      <c r="A50" s="2">
        <f ca="1">IFERROR(__xludf.DUMMYFUNCTION("""COMPUTED_VALUE"""),45615.7203497916)</f>
        <v>45615.720349791598</v>
      </c>
      <c r="B50" s="3" t="str">
        <f ca="1">IFERROR(__xludf.DUMMYFUNCTION("""COMPUTED_VALUE"""),"jamih@normanps.org")</f>
        <v>jamih@normanps.org</v>
      </c>
      <c r="C50" s="3"/>
      <c r="D50" s="3">
        <f ca="1">IFERROR(__xludf.DUMMYFUNCTION("""COMPUTED_VALUE"""),2)</f>
        <v>2</v>
      </c>
      <c r="E50" s="3"/>
      <c r="F50" s="6"/>
      <c r="G50" s="3"/>
      <c r="H50" s="3"/>
      <c r="I50" s="3"/>
      <c r="J50" s="3" t="str">
        <f ca="1">IFERROR(__xludf.DUMMYFUNCTION("""COMPUTED_VALUE"""),"Social Studies")</f>
        <v>Social Studies</v>
      </c>
      <c r="K50" s="3" t="str">
        <f ca="1">IFERROR(__xludf.DUMMYFUNCTION("""COMPUTED_VALUE"""),"Fourth")</f>
        <v>Fourth</v>
      </c>
      <c r="L50" s="3"/>
      <c r="M50" s="3"/>
      <c r="N50" s="3"/>
      <c r="O50" s="3"/>
      <c r="P50" s="3"/>
      <c r="Q50" s="3"/>
      <c r="R50" s="3"/>
      <c r="S50" s="3"/>
      <c r="T50" s="3" t="str">
        <f ca="1">IFERROR(__xludf.DUMMYFUNCTION("""COMPUTED_VALUE"""),"Wilson")</f>
        <v>Wilson</v>
      </c>
      <c r="U50" s="3"/>
      <c r="V50" s="3"/>
      <c r="W50" s="3"/>
      <c r="X50" s="3"/>
      <c r="Y50" s="3"/>
      <c r="Z50" s="3"/>
      <c r="AA50" s="3"/>
      <c r="AB50" s="3"/>
      <c r="AC50" s="3"/>
    </row>
    <row r="51" spans="1:29" ht="13" x14ac:dyDescent="0.15">
      <c r="A51" s="2">
        <f ca="1">IFERROR(__xludf.DUMMYFUNCTION("""COMPUTED_VALUE"""),45615.7208717361)</f>
        <v>45615.720871736099</v>
      </c>
      <c r="B51" s="3" t="str">
        <f ca="1">IFERROR(__xludf.DUMMYFUNCTION("""COMPUTED_VALUE"""),"jamih@normanps.org")</f>
        <v>jamih@normanps.org</v>
      </c>
      <c r="C51" s="3"/>
      <c r="D51" s="3">
        <f ca="1">IFERROR(__xludf.DUMMYFUNCTION("""COMPUTED_VALUE"""),2)</f>
        <v>2</v>
      </c>
      <c r="E51" s="3"/>
      <c r="F51" s="6"/>
      <c r="G51" s="3"/>
      <c r="H51" s="3"/>
      <c r="I51" s="3"/>
      <c r="J51" s="3" t="str">
        <f ca="1">IFERROR(__xludf.DUMMYFUNCTION("""COMPUTED_VALUE"""),"ELA")</f>
        <v>ELA</v>
      </c>
      <c r="K51" s="3" t="str">
        <f ca="1">IFERROR(__xludf.DUMMYFUNCTION("""COMPUTED_VALUE"""),"Second")</f>
        <v>Second</v>
      </c>
      <c r="L51" s="3"/>
      <c r="M51" s="3"/>
      <c r="N51" s="3"/>
      <c r="O51" s="3"/>
      <c r="P51" s="3"/>
      <c r="Q51" s="3"/>
      <c r="R51" s="3"/>
      <c r="S51" s="3"/>
      <c r="T51" s="3" t="str">
        <f ca="1">IFERROR(__xludf.DUMMYFUNCTION("""COMPUTED_VALUE"""),"Wilson")</f>
        <v>Wilson</v>
      </c>
      <c r="U51" s="3"/>
      <c r="V51" s="3"/>
      <c r="W51" s="3"/>
      <c r="X51" s="3"/>
      <c r="Y51" s="3"/>
      <c r="Z51" s="3"/>
      <c r="AA51" s="3"/>
      <c r="AB51" s="3"/>
      <c r="AC51" s="3"/>
    </row>
    <row r="52" spans="1:29" ht="13" x14ac:dyDescent="0.15">
      <c r="A52" s="2">
        <f ca="1">IFERROR(__xludf.DUMMYFUNCTION("""COMPUTED_VALUE"""),45615.721112037)</f>
        <v>45615.721112036998</v>
      </c>
      <c r="B52" s="3" t="str">
        <f ca="1">IFERROR(__xludf.DUMMYFUNCTION("""COMPUTED_VALUE"""),"jamih@normanps.org")</f>
        <v>jamih@normanps.org</v>
      </c>
      <c r="C52" s="3"/>
      <c r="D52" s="3">
        <f ca="1">IFERROR(__xludf.DUMMYFUNCTION("""COMPUTED_VALUE"""),2)</f>
        <v>2</v>
      </c>
      <c r="E52" s="3"/>
      <c r="F52" s="6"/>
      <c r="G52" s="3"/>
      <c r="H52" s="3"/>
      <c r="I52" s="3"/>
      <c r="J52" s="3" t="str">
        <f ca="1">IFERROR(__xludf.DUMMYFUNCTION("""COMPUTED_VALUE"""),"Social Studies")</f>
        <v>Social Studies</v>
      </c>
      <c r="K52" s="3" t="str">
        <f ca="1">IFERROR(__xludf.DUMMYFUNCTION("""COMPUTED_VALUE"""),"Third")</f>
        <v>Third</v>
      </c>
      <c r="L52" s="3"/>
      <c r="M52" s="3"/>
      <c r="N52" s="3"/>
      <c r="O52" s="3"/>
      <c r="P52" s="3"/>
      <c r="Q52" s="3"/>
      <c r="R52" s="3"/>
      <c r="S52" s="3"/>
      <c r="T52" s="3" t="str">
        <f ca="1">IFERROR(__xludf.DUMMYFUNCTION("""COMPUTED_VALUE"""),"Wilson")</f>
        <v>Wilson</v>
      </c>
      <c r="U52" s="3"/>
      <c r="V52" s="3"/>
      <c r="W52" s="3"/>
      <c r="X52" s="3"/>
      <c r="Y52" s="3"/>
      <c r="Z52" s="3"/>
      <c r="AA52" s="3"/>
      <c r="AB52" s="3"/>
      <c r="AC52" s="3"/>
    </row>
    <row r="53" spans="1:29" ht="13" x14ac:dyDescent="0.15">
      <c r="A53" s="2">
        <f ca="1">IFERROR(__xludf.DUMMYFUNCTION("""COMPUTED_VALUE"""),45615.7213147916)</f>
        <v>45615.721314791597</v>
      </c>
      <c r="B53" s="3" t="str">
        <f ca="1">IFERROR(__xludf.DUMMYFUNCTION("""COMPUTED_VALUE"""),"jamih@normanps.org")</f>
        <v>jamih@normanps.org</v>
      </c>
      <c r="C53" s="3"/>
      <c r="D53" s="3">
        <f ca="1">IFERROR(__xludf.DUMMYFUNCTION("""COMPUTED_VALUE"""),2)</f>
        <v>2</v>
      </c>
      <c r="E53" s="3"/>
      <c r="F53" s="6"/>
      <c r="G53" s="3"/>
      <c r="H53" s="3"/>
      <c r="I53" s="3"/>
      <c r="J53" s="3" t="str">
        <f ca="1">IFERROR(__xludf.DUMMYFUNCTION("""COMPUTED_VALUE"""),"Social Studies")</f>
        <v>Social Studies</v>
      </c>
      <c r="K53" s="3" t="str">
        <f ca="1">IFERROR(__xludf.DUMMYFUNCTION("""COMPUTED_VALUE"""),"Fifth")</f>
        <v>Fifth</v>
      </c>
      <c r="L53" s="3"/>
      <c r="M53" s="3"/>
      <c r="N53" s="3"/>
      <c r="O53" s="3"/>
      <c r="P53" s="3"/>
      <c r="Q53" s="3"/>
      <c r="R53" s="3"/>
      <c r="S53" s="3"/>
      <c r="T53" s="3" t="str">
        <f ca="1">IFERROR(__xludf.DUMMYFUNCTION("""COMPUTED_VALUE"""),"Wilson")</f>
        <v>Wilson</v>
      </c>
      <c r="U53" s="3"/>
      <c r="V53" s="3"/>
      <c r="W53" s="3"/>
      <c r="X53" s="3"/>
      <c r="Y53" s="3"/>
      <c r="Z53" s="3"/>
      <c r="AA53" s="3"/>
      <c r="AB53" s="3"/>
      <c r="AC53" s="3"/>
    </row>
    <row r="54" spans="1:29" ht="13" x14ac:dyDescent="0.15">
      <c r="A54" s="2">
        <f ca="1">IFERROR(__xludf.DUMMYFUNCTION("""COMPUTED_VALUE"""),45615.7215335069)</f>
        <v>45615.721533506898</v>
      </c>
      <c r="B54" s="3" t="str">
        <f ca="1">IFERROR(__xludf.DUMMYFUNCTION("""COMPUTED_VALUE"""),"jamih@normanps.org")</f>
        <v>jamih@normanps.org</v>
      </c>
      <c r="C54" s="3"/>
      <c r="D54" s="3">
        <f ca="1">IFERROR(__xludf.DUMMYFUNCTION("""COMPUTED_VALUE"""),1)</f>
        <v>1</v>
      </c>
      <c r="E54" s="3"/>
      <c r="F54" s="6"/>
      <c r="G54" s="3"/>
      <c r="H54" s="3"/>
      <c r="I54" s="3"/>
      <c r="J54" s="3" t="str">
        <f ca="1">IFERROR(__xludf.DUMMYFUNCTION("""COMPUTED_VALUE"""),"ELA")</f>
        <v>ELA</v>
      </c>
      <c r="K54" s="3" t="str">
        <f ca="1">IFERROR(__xludf.DUMMYFUNCTION("""COMPUTED_VALUE"""),"Prek")</f>
        <v>Prek</v>
      </c>
      <c r="L54" s="3"/>
      <c r="M54" s="3"/>
      <c r="N54" s="3"/>
      <c r="O54" s="3"/>
      <c r="P54" s="3"/>
      <c r="Q54" s="3"/>
      <c r="R54" s="3"/>
      <c r="S54" s="3"/>
      <c r="T54" s="3" t="str">
        <f ca="1">IFERROR(__xludf.DUMMYFUNCTION("""COMPUTED_VALUE"""),"Wilson")</f>
        <v>Wilson</v>
      </c>
      <c r="U54" s="3"/>
      <c r="V54" s="3"/>
      <c r="W54" s="3"/>
      <c r="X54" s="3"/>
      <c r="Y54" s="3"/>
      <c r="Z54" s="3"/>
      <c r="AA54" s="3"/>
      <c r="AB54" s="3"/>
      <c r="AC54" s="3"/>
    </row>
    <row r="55" spans="1:29" ht="13" x14ac:dyDescent="0.15">
      <c r="A55" s="2">
        <f ca="1">IFERROR(__xludf.DUMMYFUNCTION("""COMPUTED_VALUE"""),45615.7217458217)</f>
        <v>45615.721745821698</v>
      </c>
      <c r="B55" s="3" t="str">
        <f ca="1">IFERROR(__xludf.DUMMYFUNCTION("""COMPUTED_VALUE"""),"jamih@normanps.org")</f>
        <v>jamih@normanps.org</v>
      </c>
      <c r="C55" s="3"/>
      <c r="D55" s="3">
        <f ca="1">IFERROR(__xludf.DUMMYFUNCTION("""COMPUTED_VALUE"""),2)</f>
        <v>2</v>
      </c>
      <c r="E55" s="3"/>
      <c r="F55" s="6"/>
      <c r="G55" s="3"/>
      <c r="H55" s="3"/>
      <c r="I55" s="3"/>
      <c r="J55" s="3" t="str">
        <f ca="1">IFERROR(__xludf.DUMMYFUNCTION("""COMPUTED_VALUE"""),"ELA")</f>
        <v>ELA</v>
      </c>
      <c r="K55" s="3" t="str">
        <f ca="1">IFERROR(__xludf.DUMMYFUNCTION("""COMPUTED_VALUE"""),"Autism/SPED multi-level elementary")</f>
        <v>Autism/SPED multi-level elementary</v>
      </c>
      <c r="L55" s="3"/>
      <c r="M55" s="3"/>
      <c r="N55" s="3"/>
      <c r="O55" s="3"/>
      <c r="P55" s="3"/>
      <c r="Q55" s="3"/>
      <c r="R55" s="3"/>
      <c r="S55" s="3"/>
      <c r="T55" s="3" t="str">
        <f ca="1">IFERROR(__xludf.DUMMYFUNCTION("""COMPUTED_VALUE"""),"Wilson")</f>
        <v>Wilson</v>
      </c>
      <c r="U55" s="3"/>
      <c r="V55" s="3"/>
      <c r="W55" s="3"/>
      <c r="X55" s="3"/>
      <c r="Y55" s="3"/>
      <c r="Z55" s="3"/>
      <c r="AA55" s="3"/>
      <c r="AB55" s="3"/>
      <c r="AC55" s="3"/>
    </row>
    <row r="56" spans="1:29" ht="13" x14ac:dyDescent="0.15">
      <c r="A56" s="2">
        <f ca="1">IFERROR(__xludf.DUMMYFUNCTION("""COMPUTED_VALUE"""),45615.7230582754)</f>
        <v>45615.723058275398</v>
      </c>
      <c r="B56" s="3" t="str">
        <f ca="1">IFERROR(__xludf.DUMMYFUNCTION("""COMPUTED_VALUE"""),"jamih@normanps.org")</f>
        <v>jamih@normanps.org</v>
      </c>
      <c r="C56" s="3"/>
      <c r="D56" s="3">
        <f ca="1">IFERROR(__xludf.DUMMYFUNCTION("""COMPUTED_VALUE"""),1)</f>
        <v>1</v>
      </c>
      <c r="E56" s="3"/>
      <c r="F56" s="6"/>
      <c r="G56" s="3"/>
      <c r="H56" s="3"/>
      <c r="I56" s="3"/>
      <c r="J56" s="3" t="str">
        <f ca="1">IFERROR(__xludf.DUMMYFUNCTION("""COMPUTED_VALUE"""),"Social Studies")</f>
        <v>Social Studies</v>
      </c>
      <c r="K56" s="3" t="str">
        <f ca="1">IFERROR(__xludf.DUMMYFUNCTION("""COMPUTED_VALUE"""),"First")</f>
        <v>First</v>
      </c>
      <c r="L56" s="3"/>
      <c r="M56" s="3"/>
      <c r="N56" s="3"/>
      <c r="O56" s="3"/>
      <c r="P56" s="3"/>
      <c r="Q56" s="3"/>
      <c r="R56" s="3"/>
      <c r="S56" s="3"/>
      <c r="T56" s="3" t="str">
        <f ca="1">IFERROR(__xludf.DUMMYFUNCTION("""COMPUTED_VALUE"""),"Wilson")</f>
        <v>Wilson</v>
      </c>
      <c r="U56" s="3"/>
      <c r="V56" s="3"/>
      <c r="W56" s="3"/>
      <c r="X56" s="3"/>
      <c r="Y56" s="3"/>
      <c r="Z56" s="3"/>
      <c r="AA56" s="3"/>
      <c r="AB56" s="3"/>
      <c r="AC56" s="3"/>
    </row>
    <row r="57" spans="1:29" ht="13" x14ac:dyDescent="0.15">
      <c r="A57" s="2">
        <f ca="1">IFERROR(__xludf.DUMMYFUNCTION("""COMPUTED_VALUE"""),45615.7233776157)</f>
        <v>45615.723377615701</v>
      </c>
      <c r="B57" s="3" t="str">
        <f ca="1">IFERROR(__xludf.DUMMYFUNCTION("""COMPUTED_VALUE"""),"jamih@normanps.org")</f>
        <v>jamih@normanps.org</v>
      </c>
      <c r="C57" s="3"/>
      <c r="D57" s="3">
        <f ca="1">IFERROR(__xludf.DUMMYFUNCTION("""COMPUTED_VALUE"""),2)</f>
        <v>2</v>
      </c>
      <c r="E57" s="3"/>
      <c r="F57" s="6"/>
      <c r="G57" s="3"/>
      <c r="H57" s="3"/>
      <c r="I57" s="3"/>
      <c r="J57" s="3" t="str">
        <f ca="1">IFERROR(__xludf.DUMMYFUNCTION("""COMPUTED_VALUE"""),"Social Studies")</f>
        <v>Social Studies</v>
      </c>
      <c r="K57" s="3" t="str">
        <f ca="1">IFERROR(__xludf.DUMMYFUNCTION("""COMPUTED_VALUE"""),"Fourth")</f>
        <v>Fourth</v>
      </c>
      <c r="L57" s="3"/>
      <c r="M57" s="3"/>
      <c r="N57" s="3"/>
      <c r="O57" s="3"/>
      <c r="P57" s="3"/>
      <c r="Q57" s="3"/>
      <c r="R57" s="3"/>
      <c r="S57" s="3"/>
      <c r="T57" s="3" t="str">
        <f ca="1">IFERROR(__xludf.DUMMYFUNCTION("""COMPUTED_VALUE"""),"Wilson")</f>
        <v>Wilson</v>
      </c>
      <c r="U57" s="3"/>
      <c r="V57" s="3"/>
      <c r="W57" s="3"/>
      <c r="X57" s="3"/>
      <c r="Y57" s="3"/>
      <c r="Z57" s="3"/>
      <c r="AA57" s="3"/>
      <c r="AB57" s="3"/>
      <c r="AC57" s="3"/>
    </row>
    <row r="58" spans="1:29" ht="13" x14ac:dyDescent="0.15">
      <c r="A58" s="2">
        <f ca="1">IFERROR(__xludf.DUMMYFUNCTION("""COMPUTED_VALUE"""),45615.7236559722)</f>
        <v>45615.723655972201</v>
      </c>
      <c r="B58" s="3" t="str">
        <f ca="1">IFERROR(__xludf.DUMMYFUNCTION("""COMPUTED_VALUE"""),"jamih@normanps.org")</f>
        <v>jamih@normanps.org</v>
      </c>
      <c r="C58" s="3"/>
      <c r="D58" s="3">
        <f ca="1">IFERROR(__xludf.DUMMYFUNCTION("""COMPUTED_VALUE"""),2)</f>
        <v>2</v>
      </c>
      <c r="E58" s="3"/>
      <c r="F58" s="6"/>
      <c r="G58" s="3"/>
      <c r="H58" s="3"/>
      <c r="I58" s="3"/>
      <c r="J58" s="3" t="str">
        <f ca="1">IFERROR(__xludf.DUMMYFUNCTION("""COMPUTED_VALUE"""),"ELA")</f>
        <v>ELA</v>
      </c>
      <c r="K58" s="3" t="str">
        <f ca="1">IFERROR(__xludf.DUMMYFUNCTION("""COMPUTED_VALUE"""),"Second")</f>
        <v>Second</v>
      </c>
      <c r="L58" s="3"/>
      <c r="M58" s="3"/>
      <c r="N58" s="3"/>
      <c r="O58" s="3"/>
      <c r="P58" s="3"/>
      <c r="Q58" s="3"/>
      <c r="R58" s="3"/>
      <c r="S58" s="3"/>
      <c r="T58" s="3" t="str">
        <f ca="1">IFERROR(__xludf.DUMMYFUNCTION("""COMPUTED_VALUE"""),"Wilson")</f>
        <v>Wilson</v>
      </c>
      <c r="U58" s="3"/>
      <c r="V58" s="3"/>
      <c r="W58" s="3"/>
      <c r="X58" s="3"/>
      <c r="Y58" s="3"/>
      <c r="Z58" s="3"/>
      <c r="AA58" s="3"/>
      <c r="AB58" s="3"/>
      <c r="AC58" s="3"/>
    </row>
    <row r="59" spans="1:29" ht="13" x14ac:dyDescent="0.15">
      <c r="A59" s="2">
        <f ca="1">IFERROR(__xludf.DUMMYFUNCTION("""COMPUTED_VALUE"""),45615.7238946875)</f>
        <v>45615.7238946875</v>
      </c>
      <c r="B59" s="3" t="str">
        <f ca="1">IFERROR(__xludf.DUMMYFUNCTION("""COMPUTED_VALUE"""),"jamih@normanps.org")</f>
        <v>jamih@normanps.org</v>
      </c>
      <c r="C59" s="3"/>
      <c r="D59" s="3">
        <f ca="1">IFERROR(__xludf.DUMMYFUNCTION("""COMPUTED_VALUE"""),2)</f>
        <v>2</v>
      </c>
      <c r="E59" s="3"/>
      <c r="F59" s="6"/>
      <c r="G59" s="3"/>
      <c r="H59" s="3"/>
      <c r="I59" s="3"/>
      <c r="J59" s="3" t="str">
        <f ca="1">IFERROR(__xludf.DUMMYFUNCTION("""COMPUTED_VALUE"""),"Social Studies")</f>
        <v>Social Studies</v>
      </c>
      <c r="K59" s="3" t="str">
        <f ca="1">IFERROR(__xludf.DUMMYFUNCTION("""COMPUTED_VALUE"""),"Third")</f>
        <v>Third</v>
      </c>
      <c r="L59" s="3"/>
      <c r="M59" s="3"/>
      <c r="N59" s="3"/>
      <c r="O59" s="3"/>
      <c r="P59" s="3"/>
      <c r="Q59" s="3"/>
      <c r="R59" s="3"/>
      <c r="S59" s="3"/>
      <c r="T59" s="3" t="str">
        <f ca="1">IFERROR(__xludf.DUMMYFUNCTION("""COMPUTED_VALUE"""),"Wilson")</f>
        <v>Wilson</v>
      </c>
      <c r="U59" s="3"/>
      <c r="V59" s="3"/>
      <c r="W59" s="3"/>
      <c r="X59" s="3"/>
      <c r="Y59" s="3"/>
      <c r="Z59" s="3"/>
      <c r="AA59" s="3"/>
      <c r="AB59" s="3"/>
      <c r="AC59" s="3"/>
    </row>
    <row r="60" spans="1:29" ht="13" x14ac:dyDescent="0.15">
      <c r="A60" s="2">
        <f ca="1">IFERROR(__xludf.DUMMYFUNCTION("""COMPUTED_VALUE"""),45615.7241045717)</f>
        <v>45615.724104571702</v>
      </c>
      <c r="B60" s="3" t="str">
        <f ca="1">IFERROR(__xludf.DUMMYFUNCTION("""COMPUTED_VALUE"""),"jamih@normanps.org")</f>
        <v>jamih@normanps.org</v>
      </c>
      <c r="C60" s="3"/>
      <c r="D60" s="3">
        <f ca="1">IFERROR(__xludf.DUMMYFUNCTION("""COMPUTED_VALUE"""),2)</f>
        <v>2</v>
      </c>
      <c r="E60" s="3"/>
      <c r="F60" s="6"/>
      <c r="G60" s="3"/>
      <c r="H60" s="3"/>
      <c r="I60" s="3"/>
      <c r="J60" s="3" t="str">
        <f ca="1">IFERROR(__xludf.DUMMYFUNCTION("""COMPUTED_VALUE"""),"Social Studies")</f>
        <v>Social Studies</v>
      </c>
      <c r="K60" s="3" t="str">
        <f ca="1">IFERROR(__xludf.DUMMYFUNCTION("""COMPUTED_VALUE"""),"Fifth")</f>
        <v>Fifth</v>
      </c>
      <c r="L60" s="3"/>
      <c r="M60" s="3"/>
      <c r="N60" s="3"/>
      <c r="O60" s="3"/>
      <c r="P60" s="3"/>
      <c r="Q60" s="3"/>
      <c r="R60" s="3"/>
      <c r="S60" s="3"/>
      <c r="T60" s="3" t="str">
        <f ca="1">IFERROR(__xludf.DUMMYFUNCTION("""COMPUTED_VALUE"""),"Wilson")</f>
        <v>Wilson</v>
      </c>
      <c r="U60" s="3"/>
      <c r="V60" s="3"/>
      <c r="W60" s="3"/>
      <c r="X60" s="3"/>
      <c r="Y60" s="3"/>
      <c r="Z60" s="3"/>
      <c r="AA60" s="3"/>
      <c r="AB60" s="3"/>
      <c r="AC60" s="3"/>
    </row>
    <row r="61" spans="1:29" ht="13" x14ac:dyDescent="0.15">
      <c r="A61" s="2">
        <f ca="1">IFERROR(__xludf.DUMMYFUNCTION("""COMPUTED_VALUE"""),45615.7245336458)</f>
        <v>45615.7245336458</v>
      </c>
      <c r="B61" s="3" t="str">
        <f ca="1">IFERROR(__xludf.DUMMYFUNCTION("""COMPUTED_VALUE"""),"jamih@normanps.org")</f>
        <v>jamih@normanps.org</v>
      </c>
      <c r="C61" s="3"/>
      <c r="D61" s="3">
        <f ca="1">IFERROR(__xludf.DUMMYFUNCTION("""COMPUTED_VALUE"""),1)</f>
        <v>1</v>
      </c>
      <c r="E61" s="3"/>
      <c r="F61" s="6"/>
      <c r="G61" s="3"/>
      <c r="H61" s="3"/>
      <c r="I61" s="3"/>
      <c r="J61" s="3" t="str">
        <f ca="1">IFERROR(__xludf.DUMMYFUNCTION("""COMPUTED_VALUE"""),"Math")</f>
        <v>Math</v>
      </c>
      <c r="K61" s="3" t="str">
        <f ca="1">IFERROR(__xludf.DUMMYFUNCTION("""COMPUTED_VALUE"""),"Kindergarten")</f>
        <v>Kindergarten</v>
      </c>
      <c r="L61" s="3"/>
      <c r="M61" s="3"/>
      <c r="N61" s="3"/>
      <c r="O61" s="3"/>
      <c r="P61" s="3"/>
      <c r="Q61" s="3"/>
      <c r="R61" s="3"/>
      <c r="S61" s="3"/>
      <c r="T61" s="3" t="str">
        <f ca="1">IFERROR(__xludf.DUMMYFUNCTION("""COMPUTED_VALUE"""),"Wilson")</f>
        <v>Wilson</v>
      </c>
      <c r="U61" s="3"/>
      <c r="V61" s="3"/>
      <c r="W61" s="3"/>
      <c r="X61" s="3"/>
      <c r="Y61" s="3"/>
      <c r="Z61" s="3"/>
      <c r="AA61" s="3"/>
      <c r="AB61" s="3"/>
      <c r="AC61" s="3"/>
    </row>
    <row r="62" spans="1:29" ht="13" x14ac:dyDescent="0.15">
      <c r="A62" s="2">
        <f ca="1">IFERROR(__xludf.DUMMYFUNCTION("""COMPUTED_VALUE"""),45615.7247572337)</f>
        <v>45615.7247572337</v>
      </c>
      <c r="B62" s="3" t="str">
        <f ca="1">IFERROR(__xludf.DUMMYFUNCTION("""COMPUTED_VALUE"""),"jamih@normanps.org")</f>
        <v>jamih@normanps.org</v>
      </c>
      <c r="C62" s="3"/>
      <c r="D62" s="3">
        <f ca="1">IFERROR(__xludf.DUMMYFUNCTION("""COMPUTED_VALUE"""),1)</f>
        <v>1</v>
      </c>
      <c r="E62" s="3"/>
      <c r="F62" s="6"/>
      <c r="G62" s="3"/>
      <c r="H62" s="3"/>
      <c r="I62" s="3"/>
      <c r="J62" s="3" t="str">
        <f ca="1">IFERROR(__xludf.DUMMYFUNCTION("""COMPUTED_VALUE"""),"ELA")</f>
        <v>ELA</v>
      </c>
      <c r="K62" s="3" t="str">
        <f ca="1">IFERROR(__xludf.DUMMYFUNCTION("""COMPUTED_VALUE"""),"Prek")</f>
        <v>Prek</v>
      </c>
      <c r="L62" s="3"/>
      <c r="M62" s="3"/>
      <c r="N62" s="3"/>
      <c r="O62" s="3"/>
      <c r="P62" s="3"/>
      <c r="Q62" s="3"/>
      <c r="R62" s="3"/>
      <c r="S62" s="3"/>
      <c r="T62" s="3" t="str">
        <f ca="1">IFERROR(__xludf.DUMMYFUNCTION("""COMPUTED_VALUE"""),"Wilson")</f>
        <v>Wilson</v>
      </c>
      <c r="U62" s="3"/>
      <c r="V62" s="3"/>
      <c r="W62" s="3"/>
      <c r="X62" s="3"/>
      <c r="Y62" s="3"/>
      <c r="Z62" s="3"/>
      <c r="AA62" s="3"/>
      <c r="AB62" s="3"/>
      <c r="AC62" s="3"/>
    </row>
    <row r="63" spans="1:29" ht="13" x14ac:dyDescent="0.15">
      <c r="A63" s="2">
        <f ca="1">IFERROR(__xludf.DUMMYFUNCTION("""COMPUTED_VALUE"""),45615.7249475231)</f>
        <v>45615.7249475231</v>
      </c>
      <c r="B63" s="3" t="str">
        <f ca="1">IFERROR(__xludf.DUMMYFUNCTION("""COMPUTED_VALUE"""),"jamih@normanps.org")</f>
        <v>jamih@normanps.org</v>
      </c>
      <c r="C63" s="3"/>
      <c r="D63" s="3">
        <f ca="1">IFERROR(__xludf.DUMMYFUNCTION("""COMPUTED_VALUE"""),2)</f>
        <v>2</v>
      </c>
      <c r="E63" s="3"/>
      <c r="F63" s="6"/>
      <c r="G63" s="3"/>
      <c r="H63" s="3"/>
      <c r="I63" s="3"/>
      <c r="J63" s="3" t="str">
        <f ca="1">IFERROR(__xludf.DUMMYFUNCTION("""COMPUTED_VALUE"""),"ELA")</f>
        <v>ELA</v>
      </c>
      <c r="K63" s="3" t="str">
        <f ca="1">IFERROR(__xludf.DUMMYFUNCTION("""COMPUTED_VALUE"""),"Autism/SPED multi-level elementary")</f>
        <v>Autism/SPED multi-level elementary</v>
      </c>
      <c r="L63" s="3"/>
      <c r="M63" s="3"/>
      <c r="N63" s="3"/>
      <c r="O63" s="3"/>
      <c r="P63" s="3"/>
      <c r="Q63" s="3"/>
      <c r="R63" s="3"/>
      <c r="S63" s="3"/>
      <c r="T63" s="3" t="str">
        <f ca="1">IFERROR(__xludf.DUMMYFUNCTION("""COMPUTED_VALUE"""),"Wilson")</f>
        <v>Wilson</v>
      </c>
      <c r="U63" s="3"/>
      <c r="V63" s="3"/>
      <c r="W63" s="3"/>
      <c r="X63" s="3"/>
      <c r="Y63" s="3"/>
      <c r="Z63" s="3"/>
      <c r="AA63" s="3"/>
      <c r="AB63" s="3"/>
      <c r="AC63" s="3"/>
    </row>
    <row r="64" spans="1:29" ht="13" x14ac:dyDescent="0.15">
      <c r="A64" s="2">
        <f ca="1">IFERROR(__xludf.DUMMYFUNCTION("""COMPUTED_VALUE"""),45615.7256562962)</f>
        <v>45615.725656296199</v>
      </c>
      <c r="B64" s="3" t="str">
        <f ca="1">IFERROR(__xludf.DUMMYFUNCTION("""COMPUTED_VALUE"""),"jamih@normanps.org")</f>
        <v>jamih@normanps.org</v>
      </c>
      <c r="C64" s="3"/>
      <c r="D64" s="3"/>
      <c r="E64" s="3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>
        <f ca="1">IFERROR(__xludf.DUMMYFUNCTION("""COMPUTED_VALUE"""),6)</f>
        <v>6</v>
      </c>
      <c r="T64" s="3" t="str">
        <f ca="1">IFERROR(__xludf.DUMMYFUNCTION("""COMPUTED_VALUE"""),"Wilson")</f>
        <v>Wilson</v>
      </c>
      <c r="U64" s="3"/>
      <c r="V64" s="3"/>
      <c r="W64" s="3"/>
      <c r="X64" s="3"/>
      <c r="Y64" s="3"/>
      <c r="Z64" s="3"/>
      <c r="AA64" s="3"/>
      <c r="AB64" s="3"/>
      <c r="AC64" s="3"/>
    </row>
    <row r="65" spans="1:29" ht="13" x14ac:dyDescent="0.15">
      <c r="A65" s="2">
        <f ca="1">IFERROR(__xludf.DUMMYFUNCTION("""COMPUTED_VALUE"""),45615.7265493287)</f>
        <v>45615.726549328698</v>
      </c>
      <c r="B65" s="3" t="str">
        <f ca="1">IFERROR(__xludf.DUMMYFUNCTION("""COMPUTED_VALUE"""),"jamih@normanps.org")</f>
        <v>jamih@normanps.org</v>
      </c>
      <c r="C65" s="3"/>
      <c r="D65" s="3">
        <f ca="1">IFERROR(__xludf.DUMMYFUNCTION("""COMPUTED_VALUE"""),3)</f>
        <v>3</v>
      </c>
      <c r="E65" s="3"/>
      <c r="F65" s="6"/>
      <c r="G65" s="3"/>
      <c r="H65" s="3"/>
      <c r="I65" s="3"/>
      <c r="J65" s="3"/>
      <c r="K65" s="3" t="str">
        <f ca="1">IFERROR(__xludf.DUMMYFUNCTION("""COMPUTED_VALUE"""),"Autism/SPED multi-level elementary")</f>
        <v>Autism/SPED multi-level elementary</v>
      </c>
      <c r="L65" s="3"/>
      <c r="M65" s="3"/>
      <c r="N65" s="3"/>
      <c r="O65" s="3"/>
      <c r="P65" s="3" t="str">
        <f ca="1">IFERROR(__xludf.DUMMYFUNCTION("""COMPUTED_VALUE"""),"Pioneer")</f>
        <v>Pioneer</v>
      </c>
      <c r="Q65" s="3"/>
      <c r="R65" s="3"/>
      <c r="S65" s="3"/>
      <c r="T65" s="3" t="str">
        <f ca="1">IFERROR(__xludf.DUMMYFUNCTION("""COMPUTED_VALUE"""),"Wilson")</f>
        <v>Wilson</v>
      </c>
      <c r="U65" s="3"/>
      <c r="V65" s="3"/>
      <c r="W65" s="3"/>
      <c r="X65" s="3"/>
      <c r="Y65" s="3"/>
      <c r="Z65" s="3"/>
      <c r="AA65" s="3"/>
      <c r="AB65" s="3"/>
      <c r="AC65" s="3"/>
    </row>
    <row r="66" spans="1:29" ht="13" x14ac:dyDescent="0.15">
      <c r="A66" s="2">
        <f ca="1">IFERROR(__xludf.DUMMYFUNCTION("""COMPUTED_VALUE"""),45615.7273565509)</f>
        <v>45615.727356550902</v>
      </c>
      <c r="B66" s="3" t="str">
        <f ca="1">IFERROR(__xludf.DUMMYFUNCTION("""COMPUTED_VALUE"""),"jamih@normanps.org")</f>
        <v>jamih@normanps.org</v>
      </c>
      <c r="C66" s="3"/>
      <c r="D66" s="3"/>
      <c r="E66" s="3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 t="str">
        <f ca="1">IFERROR(__xludf.DUMMYFUNCTION("""COMPUTED_VALUE"""),"Scholastic Book Fair")</f>
        <v>Scholastic Book Fair</v>
      </c>
      <c r="S66" s="3"/>
      <c r="T66" s="3" t="str">
        <f ca="1">IFERROR(__xludf.DUMMYFUNCTION("""COMPUTED_VALUE"""),"Wilson")</f>
        <v>Wilson</v>
      </c>
      <c r="U66" s="3"/>
      <c r="V66" s="3"/>
      <c r="W66" s="3"/>
      <c r="X66" s="3"/>
      <c r="Y66" s="3"/>
      <c r="Z66" s="3"/>
      <c r="AA66" s="3"/>
      <c r="AB66" s="3"/>
      <c r="AC66" s="3"/>
    </row>
    <row r="67" spans="1:29" ht="13" x14ac:dyDescent="0.15">
      <c r="A67" s="2">
        <f ca="1">IFERROR(__xludf.DUMMYFUNCTION("""COMPUTED_VALUE"""),45615.7275619791)</f>
        <v>45615.727561979103</v>
      </c>
      <c r="B67" s="3" t="str">
        <f ca="1">IFERROR(__xludf.DUMMYFUNCTION("""COMPUTED_VALUE"""),"jamih@normanps.org")</f>
        <v>jamih@normanps.org</v>
      </c>
      <c r="C67" s="3"/>
      <c r="D67" s="3"/>
      <c r="E67" s="3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 t="str">
        <f ca="1">IFERROR(__xludf.DUMMYFUNCTION("""COMPUTED_VALUE"""),"Sequoyah Read Around")</f>
        <v>Sequoyah Read Around</v>
      </c>
      <c r="S67" s="3"/>
      <c r="T67" s="3" t="str">
        <f ca="1">IFERROR(__xludf.DUMMYFUNCTION("""COMPUTED_VALUE"""),"Wilson")</f>
        <v>Wilson</v>
      </c>
      <c r="U67" s="3"/>
      <c r="V67" s="3"/>
      <c r="W67" s="3"/>
      <c r="X67" s="3"/>
      <c r="Y67" s="3"/>
      <c r="Z67" s="3"/>
      <c r="AA67" s="3"/>
      <c r="AB67" s="3"/>
      <c r="AC67" s="3"/>
    </row>
    <row r="68" spans="1:29" ht="13" x14ac:dyDescent="0.15">
      <c r="A68" s="2">
        <f ca="1">IFERROR(__xludf.DUMMYFUNCTION("""COMPUTED_VALUE"""),45615.727867037)</f>
        <v>45615.727867037</v>
      </c>
      <c r="B68" s="3" t="str">
        <f ca="1">IFERROR(__xludf.DUMMYFUNCTION("""COMPUTED_VALUE"""),"jamih@normanps.org")</f>
        <v>jamih@normanps.org</v>
      </c>
      <c r="C68" s="3"/>
      <c r="D68" s="3"/>
      <c r="E68" s="3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 t="str">
        <f ca="1">IFERROR(__xludf.DUMMYFUNCTION("""COMPUTED_VALUE"""),"Storybook Pumpkin Contest")</f>
        <v>Storybook Pumpkin Contest</v>
      </c>
      <c r="S68" s="3"/>
      <c r="T68" s="3" t="str">
        <f ca="1">IFERROR(__xludf.DUMMYFUNCTION("""COMPUTED_VALUE"""),"Wilson")</f>
        <v>Wilson</v>
      </c>
      <c r="U68" s="3"/>
      <c r="V68" s="3"/>
      <c r="W68" s="3"/>
      <c r="X68" s="3"/>
      <c r="Y68" s="3"/>
      <c r="Z68" s="3"/>
      <c r="AA68" s="3"/>
      <c r="AB68" s="3"/>
      <c r="AC68" s="3"/>
    </row>
    <row r="69" spans="1:29" ht="13" x14ac:dyDescent="0.15">
      <c r="A69" s="2">
        <f ca="1">IFERROR(__xludf.DUMMYFUNCTION("""COMPUTED_VALUE"""),45615.734003993)</f>
        <v>45615.734003992999</v>
      </c>
      <c r="B69" s="3" t="str">
        <f ca="1">IFERROR(__xludf.DUMMYFUNCTION("""COMPUTED_VALUE"""),"jamih@normanps.org")</f>
        <v>jamih@normanps.org</v>
      </c>
      <c r="C69" s="3"/>
      <c r="D69" s="3"/>
      <c r="E69" s="3"/>
      <c r="F69" s="6"/>
      <c r="G69" s="3"/>
      <c r="H69" s="3">
        <f ca="1">IFERROR(__xludf.DUMMYFUNCTION("""COMPUTED_VALUE"""),7)</f>
        <v>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tr">
        <f ca="1">IFERROR(__xludf.DUMMYFUNCTION("""COMPUTED_VALUE"""),"Wilson")</f>
        <v>Wilson</v>
      </c>
      <c r="U69" s="3"/>
      <c r="V69" s="3"/>
      <c r="W69" s="3"/>
      <c r="X69" s="3"/>
      <c r="Y69" s="3"/>
      <c r="Z69" s="3"/>
      <c r="AA69" s="3"/>
      <c r="AB69" s="3"/>
      <c r="AC69" s="3"/>
    </row>
    <row r="70" spans="1:29" ht="13" x14ac:dyDescent="0.15">
      <c r="A70" s="2">
        <f ca="1">IFERROR(__xludf.DUMMYFUNCTION("""COMPUTED_VALUE"""),45636.5429282175)</f>
        <v>45636.542928217503</v>
      </c>
      <c r="B70" s="3" t="str">
        <f ca="1">IFERROR(__xludf.DUMMYFUNCTION("""COMPUTED_VALUE"""),"jamih@normanps.org")</f>
        <v>jamih@normanps.org</v>
      </c>
      <c r="C70" s="3"/>
      <c r="D70" s="3">
        <f ca="1">IFERROR(__xludf.DUMMYFUNCTION("""COMPUTED_VALUE"""),2)</f>
        <v>2</v>
      </c>
      <c r="E70" s="3"/>
      <c r="F70" s="6"/>
      <c r="G70" s="3"/>
      <c r="H70" s="3"/>
      <c r="I70" s="3"/>
      <c r="J70" s="3" t="str">
        <f ca="1">IFERROR(__xludf.DUMMYFUNCTION("""COMPUTED_VALUE"""),"Science")</f>
        <v>Science</v>
      </c>
      <c r="K70" s="3" t="str">
        <f ca="1">IFERROR(__xludf.DUMMYFUNCTION("""COMPUTED_VALUE"""),"Second")</f>
        <v>Second</v>
      </c>
      <c r="L70" s="3"/>
      <c r="M70" s="3"/>
      <c r="N70" s="3"/>
      <c r="O70" s="3"/>
      <c r="P70" s="3"/>
      <c r="Q70" s="3"/>
      <c r="R70" s="3"/>
      <c r="S70" s="3"/>
      <c r="T70" s="3" t="str">
        <f ca="1">IFERROR(__xludf.DUMMYFUNCTION("""COMPUTED_VALUE"""),"Wilson")</f>
        <v>Wilson</v>
      </c>
      <c r="U70" s="3"/>
      <c r="V70" s="3"/>
      <c r="W70" s="3"/>
      <c r="X70" s="3"/>
      <c r="Y70" s="3"/>
      <c r="Z70" s="3"/>
      <c r="AA70" s="3"/>
      <c r="AB70" s="3"/>
      <c r="AC70" s="3"/>
    </row>
    <row r="71" spans="1:29" ht="13" x14ac:dyDescent="0.15">
      <c r="A71" s="2">
        <f ca="1">IFERROR(__xludf.DUMMYFUNCTION("""COMPUTED_VALUE"""),45636.5435878356)</f>
        <v>45636.5435878356</v>
      </c>
      <c r="B71" s="3" t="str">
        <f ca="1">IFERROR(__xludf.DUMMYFUNCTION("""COMPUTED_VALUE"""),"jamih@normanps.org")</f>
        <v>jamih@normanps.org</v>
      </c>
      <c r="C71" s="3"/>
      <c r="D71" s="3">
        <f ca="1">IFERROR(__xludf.DUMMYFUNCTION("""COMPUTED_VALUE"""),2)</f>
        <v>2</v>
      </c>
      <c r="E71" s="3"/>
      <c r="F71" s="6"/>
      <c r="G71" s="3"/>
      <c r="H71" s="3"/>
      <c r="I71" s="3"/>
      <c r="J71" s="3" t="str">
        <f ca="1">IFERROR(__xludf.DUMMYFUNCTION("""COMPUTED_VALUE"""),"Social Studies")</f>
        <v>Social Studies</v>
      </c>
      <c r="K71" s="3" t="str">
        <f ca="1">IFERROR(__xludf.DUMMYFUNCTION("""COMPUTED_VALUE"""),"Third")</f>
        <v>Third</v>
      </c>
      <c r="L71" s="3"/>
      <c r="M71" s="3"/>
      <c r="N71" s="3"/>
      <c r="O71" s="3"/>
      <c r="P71" s="3"/>
      <c r="Q71" s="3"/>
      <c r="R71" s="3"/>
      <c r="S71" s="3"/>
      <c r="T71" s="3" t="str">
        <f ca="1">IFERROR(__xludf.DUMMYFUNCTION("""COMPUTED_VALUE"""),"Wilson")</f>
        <v>Wilson</v>
      </c>
      <c r="U71" s="3"/>
      <c r="V71" s="3"/>
      <c r="W71" s="3"/>
      <c r="X71" s="3"/>
      <c r="Y71" s="3"/>
      <c r="Z71" s="3"/>
      <c r="AA71" s="3"/>
      <c r="AB71" s="3"/>
      <c r="AC71" s="3"/>
    </row>
    <row r="72" spans="1:29" ht="13" x14ac:dyDescent="0.15">
      <c r="A72" s="2">
        <f ca="1">IFERROR(__xludf.DUMMYFUNCTION("""COMPUTED_VALUE"""),45636.5438667592)</f>
        <v>45636.543866759203</v>
      </c>
      <c r="B72" s="3" t="str">
        <f ca="1">IFERROR(__xludf.DUMMYFUNCTION("""COMPUTED_VALUE"""),"jamih@normanps.org")</f>
        <v>jamih@normanps.org</v>
      </c>
      <c r="C72" s="3"/>
      <c r="D72" s="3">
        <f ca="1">IFERROR(__xludf.DUMMYFUNCTION("""COMPUTED_VALUE"""),2)</f>
        <v>2</v>
      </c>
      <c r="E72" s="3"/>
      <c r="F72" s="6"/>
      <c r="G72" s="3"/>
      <c r="H72" s="3"/>
      <c r="I72" s="3"/>
      <c r="J72" s="3" t="str">
        <f ca="1">IFERROR(__xludf.DUMMYFUNCTION("""COMPUTED_VALUE"""),"Social Studies")</f>
        <v>Social Studies</v>
      </c>
      <c r="K72" s="3" t="str">
        <f ca="1">IFERROR(__xludf.DUMMYFUNCTION("""COMPUTED_VALUE"""),"Fifth")</f>
        <v>Fifth</v>
      </c>
      <c r="L72" s="3"/>
      <c r="M72" s="3"/>
      <c r="N72" s="3"/>
      <c r="O72" s="3"/>
      <c r="P72" s="3"/>
      <c r="Q72" s="3"/>
      <c r="R72" s="3"/>
      <c r="S72" s="3"/>
      <c r="T72" s="3" t="str">
        <f ca="1">IFERROR(__xludf.DUMMYFUNCTION("""COMPUTED_VALUE"""),"Wilson")</f>
        <v>Wilson</v>
      </c>
      <c r="U72" s="3"/>
      <c r="V72" s="3"/>
      <c r="W72" s="3"/>
      <c r="X72" s="3"/>
      <c r="Y72" s="3"/>
      <c r="Z72" s="3"/>
      <c r="AA72" s="3"/>
      <c r="AB72" s="3"/>
      <c r="AC72" s="3"/>
    </row>
    <row r="73" spans="1:29" ht="13" x14ac:dyDescent="0.15">
      <c r="A73" s="2">
        <f ca="1">IFERROR(__xludf.DUMMYFUNCTION("""COMPUTED_VALUE"""),45636.5441551504)</f>
        <v>45636.544155150397</v>
      </c>
      <c r="B73" s="3" t="str">
        <f ca="1">IFERROR(__xludf.DUMMYFUNCTION("""COMPUTED_VALUE"""),"jamih@normanps.org")</f>
        <v>jamih@normanps.org</v>
      </c>
      <c r="C73" s="3"/>
      <c r="D73" s="3">
        <f ca="1">IFERROR(__xludf.DUMMYFUNCTION("""COMPUTED_VALUE"""),2)</f>
        <v>2</v>
      </c>
      <c r="E73" s="3"/>
      <c r="F73" s="6"/>
      <c r="G73" s="3"/>
      <c r="H73" s="3"/>
      <c r="I73" s="3"/>
      <c r="J73" s="3" t="str">
        <f ca="1">IFERROR(__xludf.DUMMYFUNCTION("""COMPUTED_VALUE"""),"Social Studies")</f>
        <v>Social Studies</v>
      </c>
      <c r="K73" s="3" t="str">
        <f ca="1">IFERROR(__xludf.DUMMYFUNCTION("""COMPUTED_VALUE"""),"Fourth")</f>
        <v>Fourth</v>
      </c>
      <c r="L73" s="3"/>
      <c r="M73" s="3"/>
      <c r="N73" s="3"/>
      <c r="O73" s="3"/>
      <c r="P73" s="3"/>
      <c r="Q73" s="3"/>
      <c r="R73" s="3"/>
      <c r="S73" s="3"/>
      <c r="T73" s="3" t="str">
        <f ca="1">IFERROR(__xludf.DUMMYFUNCTION("""COMPUTED_VALUE"""),"Wilson")</f>
        <v>Wilson</v>
      </c>
      <c r="U73" s="3"/>
      <c r="V73" s="3"/>
      <c r="W73" s="3"/>
      <c r="X73" s="3"/>
      <c r="Y73" s="3"/>
      <c r="Z73" s="3"/>
      <c r="AA73" s="3"/>
      <c r="AB73" s="3"/>
      <c r="AC73" s="3"/>
    </row>
    <row r="74" spans="1:29" ht="13" x14ac:dyDescent="0.15">
      <c r="A74" s="2">
        <f ca="1">IFERROR(__xludf.DUMMYFUNCTION("""COMPUTED_VALUE"""),45636.5444743865)</f>
        <v>45636.544474386501</v>
      </c>
      <c r="B74" s="3" t="str">
        <f ca="1">IFERROR(__xludf.DUMMYFUNCTION("""COMPUTED_VALUE"""),"jamih@normanps.org")</f>
        <v>jamih@normanps.org</v>
      </c>
      <c r="C74" s="3"/>
      <c r="D74" s="3">
        <f ca="1">IFERROR(__xludf.DUMMYFUNCTION("""COMPUTED_VALUE"""),1)</f>
        <v>1</v>
      </c>
      <c r="E74" s="3"/>
      <c r="F74" s="6"/>
      <c r="G74" s="3"/>
      <c r="H74" s="3"/>
      <c r="I74" s="3"/>
      <c r="J74" s="3" t="str">
        <f ca="1">IFERROR(__xludf.DUMMYFUNCTION("""COMPUTED_VALUE"""),"Social Studies")</f>
        <v>Social Studies</v>
      </c>
      <c r="K74" s="3" t="str">
        <f ca="1">IFERROR(__xludf.DUMMYFUNCTION("""COMPUTED_VALUE"""),"First")</f>
        <v>First</v>
      </c>
      <c r="L74" s="3"/>
      <c r="M74" s="3"/>
      <c r="N74" s="3"/>
      <c r="O74" s="3"/>
      <c r="P74" s="3"/>
      <c r="Q74" s="3"/>
      <c r="R74" s="3"/>
      <c r="S74" s="3"/>
      <c r="T74" s="3" t="str">
        <f ca="1">IFERROR(__xludf.DUMMYFUNCTION("""COMPUTED_VALUE"""),"Wilson")</f>
        <v>Wilson</v>
      </c>
      <c r="U74" s="3"/>
      <c r="V74" s="3"/>
      <c r="W74" s="3"/>
      <c r="X74" s="3"/>
      <c r="Y74" s="3"/>
      <c r="Z74" s="3"/>
      <c r="AA74" s="3"/>
      <c r="AB74" s="3"/>
      <c r="AC74" s="3"/>
    </row>
    <row r="75" spans="1:29" ht="13" x14ac:dyDescent="0.15">
      <c r="A75" s="2">
        <f ca="1">IFERROR(__xludf.DUMMYFUNCTION("""COMPUTED_VALUE"""),45636.544707824)</f>
        <v>45636.544707824003</v>
      </c>
      <c r="B75" s="3" t="str">
        <f ca="1">IFERROR(__xludf.DUMMYFUNCTION("""COMPUTED_VALUE"""),"jamih@normanps.org")</f>
        <v>jamih@normanps.org</v>
      </c>
      <c r="C75" s="3"/>
      <c r="D75" s="3">
        <f ca="1">IFERROR(__xludf.DUMMYFUNCTION("""COMPUTED_VALUE"""),1)</f>
        <v>1</v>
      </c>
      <c r="E75" s="3"/>
      <c r="F75" s="6"/>
      <c r="G75" s="3"/>
      <c r="H75" s="3"/>
      <c r="I75" s="3"/>
      <c r="J75" s="3" t="str">
        <f ca="1">IFERROR(__xludf.DUMMYFUNCTION("""COMPUTED_VALUE"""),"ELA")</f>
        <v>ELA</v>
      </c>
      <c r="K75" s="3" t="str">
        <f ca="1">IFERROR(__xludf.DUMMYFUNCTION("""COMPUTED_VALUE"""),"Prek")</f>
        <v>Prek</v>
      </c>
      <c r="L75" s="3"/>
      <c r="M75" s="3"/>
      <c r="N75" s="3"/>
      <c r="O75" s="3"/>
      <c r="P75" s="3"/>
      <c r="Q75" s="3"/>
      <c r="R75" s="3"/>
      <c r="S75" s="3"/>
      <c r="T75" s="3" t="str">
        <f ca="1">IFERROR(__xludf.DUMMYFUNCTION("""COMPUTED_VALUE"""),"Wilson")</f>
        <v>Wilson</v>
      </c>
      <c r="U75" s="3"/>
      <c r="V75" s="3"/>
      <c r="W75" s="3"/>
      <c r="X75" s="3"/>
      <c r="Y75" s="3"/>
      <c r="Z75" s="3"/>
      <c r="AA75" s="3"/>
      <c r="AB75" s="3"/>
      <c r="AC75" s="3"/>
    </row>
    <row r="76" spans="1:29" ht="13" x14ac:dyDescent="0.15">
      <c r="A76" s="2">
        <f ca="1">IFERROR(__xludf.DUMMYFUNCTION("""COMPUTED_VALUE"""),45636.54510978)</f>
        <v>45636.545109780003</v>
      </c>
      <c r="B76" s="3" t="str">
        <f ca="1">IFERROR(__xludf.DUMMYFUNCTION("""COMPUTED_VALUE"""),"jamih@normanps.org")</f>
        <v>jamih@normanps.org</v>
      </c>
      <c r="C76" s="3"/>
      <c r="D76" s="3">
        <f ca="1">IFERROR(__xludf.DUMMYFUNCTION("""COMPUTED_VALUE"""),2)</f>
        <v>2</v>
      </c>
      <c r="E76" s="3"/>
      <c r="F76" s="6"/>
      <c r="G76" s="3"/>
      <c r="H76" s="3"/>
      <c r="I76" s="3"/>
      <c r="J76" s="3" t="str">
        <f ca="1">IFERROR(__xludf.DUMMYFUNCTION("""COMPUTED_VALUE"""),"ELA")</f>
        <v>ELA</v>
      </c>
      <c r="K76" s="3" t="str">
        <f ca="1">IFERROR(__xludf.DUMMYFUNCTION("""COMPUTED_VALUE"""),"Elementary multi-grade class")</f>
        <v>Elementary multi-grade class</v>
      </c>
      <c r="L76" s="3"/>
      <c r="M76" s="3"/>
      <c r="N76" s="3"/>
      <c r="O76" s="3"/>
      <c r="P76" s="3"/>
      <c r="Q76" s="3"/>
      <c r="R76" s="3"/>
      <c r="S76" s="3"/>
      <c r="T76" s="3" t="str">
        <f ca="1">IFERROR(__xludf.DUMMYFUNCTION("""COMPUTED_VALUE"""),"Wilson")</f>
        <v>Wilson</v>
      </c>
      <c r="U76" s="3"/>
      <c r="V76" s="3"/>
      <c r="W76" s="3"/>
      <c r="X76" s="3"/>
      <c r="Y76" s="3"/>
      <c r="Z76" s="3"/>
      <c r="AA76" s="3"/>
      <c r="AB76" s="3"/>
      <c r="AC76" s="3"/>
    </row>
    <row r="77" spans="1:29" ht="13" x14ac:dyDescent="0.15">
      <c r="A77" s="2">
        <f ca="1">IFERROR(__xludf.DUMMYFUNCTION("""COMPUTED_VALUE"""),45636.5454515972)</f>
        <v>45636.545451597201</v>
      </c>
      <c r="B77" s="3" t="str">
        <f ca="1">IFERROR(__xludf.DUMMYFUNCTION("""COMPUTED_VALUE"""),"jamih@normanps.org")</f>
        <v>jamih@normanps.org</v>
      </c>
      <c r="C77" s="3"/>
      <c r="D77" s="3">
        <f ca="1">IFERROR(__xludf.DUMMYFUNCTION("""COMPUTED_VALUE"""),1)</f>
        <v>1</v>
      </c>
      <c r="E77" s="3"/>
      <c r="F77" s="6"/>
      <c r="G77" s="3"/>
      <c r="H77" s="3"/>
      <c r="I77" s="3"/>
      <c r="J77" s="3" t="str">
        <f ca="1">IFERROR(__xludf.DUMMYFUNCTION("""COMPUTED_VALUE"""),"Art")</f>
        <v>Art</v>
      </c>
      <c r="K77" s="3" t="str">
        <f ca="1">IFERROR(__xludf.DUMMYFUNCTION("""COMPUTED_VALUE"""),"Kindergarten")</f>
        <v>Kindergarten</v>
      </c>
      <c r="L77" s="3"/>
      <c r="M77" s="3"/>
      <c r="N77" s="3"/>
      <c r="O77" s="3"/>
      <c r="P77" s="3"/>
      <c r="Q77" s="3"/>
      <c r="R77" s="3"/>
      <c r="S77" s="3"/>
      <c r="T77" s="3" t="str">
        <f ca="1">IFERROR(__xludf.DUMMYFUNCTION("""COMPUTED_VALUE"""),"Wilson")</f>
        <v>Wilson</v>
      </c>
      <c r="U77" s="3"/>
      <c r="V77" s="3"/>
      <c r="W77" s="3"/>
      <c r="X77" s="3"/>
      <c r="Y77" s="3"/>
      <c r="Z77" s="3"/>
      <c r="AA77" s="3"/>
      <c r="AB77" s="3"/>
      <c r="AC77" s="3"/>
    </row>
    <row r="78" spans="1:29" ht="13" x14ac:dyDescent="0.15">
      <c r="A78" s="2">
        <f ca="1">IFERROR(__xludf.DUMMYFUNCTION("""COMPUTED_VALUE"""),45636.5461585995)</f>
        <v>45636.5461585995</v>
      </c>
      <c r="B78" s="3" t="str">
        <f ca="1">IFERROR(__xludf.DUMMYFUNCTION("""COMPUTED_VALUE"""),"jamih@normanps.org")</f>
        <v>jamih@normanps.org</v>
      </c>
      <c r="C78" s="3"/>
      <c r="D78" s="3">
        <f ca="1">IFERROR(__xludf.DUMMYFUNCTION("""COMPUTED_VALUE"""),1)</f>
        <v>1</v>
      </c>
      <c r="E78" s="3"/>
      <c r="F78" s="6"/>
      <c r="G78" s="3"/>
      <c r="H78" s="3"/>
      <c r="I78" s="3"/>
      <c r="J78" s="3" t="str">
        <f ca="1">IFERROR(__xludf.DUMMYFUNCTION("""COMPUTED_VALUE"""),"Science")</f>
        <v>Science</v>
      </c>
      <c r="K78" s="3" t="str">
        <f ca="1">IFERROR(__xludf.DUMMYFUNCTION("""COMPUTED_VALUE"""),"Kindergarten")</f>
        <v>Kindergarten</v>
      </c>
      <c r="L78" s="3"/>
      <c r="M78" s="3"/>
      <c r="N78" s="3"/>
      <c r="O78" s="3"/>
      <c r="P78" s="3"/>
      <c r="Q78" s="3"/>
      <c r="R78" s="3"/>
      <c r="S78" s="3"/>
      <c r="T78" s="3" t="str">
        <f ca="1">IFERROR(__xludf.DUMMYFUNCTION("""COMPUTED_VALUE"""),"Wilson")</f>
        <v>Wilson</v>
      </c>
      <c r="U78" s="3"/>
      <c r="V78" s="3"/>
      <c r="W78" s="3"/>
      <c r="X78" s="3"/>
      <c r="Y78" s="3"/>
      <c r="Z78" s="3"/>
      <c r="AA78" s="3"/>
      <c r="AB78" s="3"/>
      <c r="AC78" s="3"/>
    </row>
    <row r="79" spans="1:29" ht="13" x14ac:dyDescent="0.15">
      <c r="A79" s="2">
        <f ca="1">IFERROR(__xludf.DUMMYFUNCTION("""COMPUTED_VALUE"""),45636.5464329629)</f>
        <v>45636.546432962903</v>
      </c>
      <c r="B79" s="3" t="str">
        <f ca="1">IFERROR(__xludf.DUMMYFUNCTION("""COMPUTED_VALUE"""),"jamih@normanps.org")</f>
        <v>jamih@normanps.org</v>
      </c>
      <c r="C79" s="3"/>
      <c r="D79" s="3">
        <f ca="1">IFERROR(__xludf.DUMMYFUNCTION("""COMPUTED_VALUE"""),1)</f>
        <v>1</v>
      </c>
      <c r="E79" s="3"/>
      <c r="F79" s="6"/>
      <c r="G79" s="3"/>
      <c r="H79" s="3"/>
      <c r="I79" s="3"/>
      <c r="J79" s="3" t="str">
        <f ca="1">IFERROR(__xludf.DUMMYFUNCTION("""COMPUTED_VALUE"""),"Science")</f>
        <v>Science</v>
      </c>
      <c r="K79" s="3" t="str">
        <f ca="1">IFERROR(__xludf.DUMMYFUNCTION("""COMPUTED_VALUE"""),"First")</f>
        <v>First</v>
      </c>
      <c r="L79" s="3"/>
      <c r="M79" s="3"/>
      <c r="N79" s="3"/>
      <c r="O79" s="3"/>
      <c r="P79" s="3"/>
      <c r="Q79" s="3"/>
      <c r="R79" s="3"/>
      <c r="S79" s="3"/>
      <c r="T79" s="3" t="str">
        <f ca="1">IFERROR(__xludf.DUMMYFUNCTION("""COMPUTED_VALUE"""),"Wilson")</f>
        <v>Wilson</v>
      </c>
      <c r="U79" s="3"/>
      <c r="V79" s="3"/>
      <c r="W79" s="3"/>
      <c r="X79" s="3"/>
      <c r="Y79" s="3"/>
      <c r="Z79" s="3"/>
      <c r="AA79" s="3"/>
      <c r="AB79" s="3"/>
      <c r="AC79" s="3"/>
    </row>
    <row r="80" spans="1:29" ht="13" x14ac:dyDescent="0.15">
      <c r="A80" s="2">
        <f ca="1">IFERROR(__xludf.DUMMYFUNCTION("""COMPUTED_VALUE"""),45636.5467003356)</f>
        <v>45636.546700335603</v>
      </c>
      <c r="B80" s="3" t="str">
        <f ca="1">IFERROR(__xludf.DUMMYFUNCTION("""COMPUTED_VALUE"""),"jamih@normanps.org")</f>
        <v>jamih@normanps.org</v>
      </c>
      <c r="C80" s="3"/>
      <c r="D80" s="3">
        <f ca="1">IFERROR(__xludf.DUMMYFUNCTION("""COMPUTED_VALUE"""),2)</f>
        <v>2</v>
      </c>
      <c r="E80" s="3"/>
      <c r="F80" s="6"/>
      <c r="G80" s="3"/>
      <c r="H80" s="3"/>
      <c r="I80" s="3"/>
      <c r="J80" s="3" t="str">
        <f ca="1">IFERROR(__xludf.DUMMYFUNCTION("""COMPUTED_VALUE"""),"Science")</f>
        <v>Science</v>
      </c>
      <c r="K80" s="3" t="str">
        <f ca="1">IFERROR(__xludf.DUMMYFUNCTION("""COMPUTED_VALUE"""),"Fourth")</f>
        <v>Fourth</v>
      </c>
      <c r="L80" s="3"/>
      <c r="M80" s="3"/>
      <c r="N80" s="3"/>
      <c r="O80" s="3"/>
      <c r="P80" s="3"/>
      <c r="Q80" s="3"/>
      <c r="R80" s="3"/>
      <c r="S80" s="3"/>
      <c r="T80" s="3" t="str">
        <f ca="1">IFERROR(__xludf.DUMMYFUNCTION("""COMPUTED_VALUE"""),"Wilson")</f>
        <v>Wilson</v>
      </c>
      <c r="U80" s="3"/>
      <c r="V80" s="3"/>
      <c r="W80" s="3"/>
      <c r="X80" s="3"/>
      <c r="Y80" s="3"/>
      <c r="Z80" s="3"/>
      <c r="AA80" s="3"/>
      <c r="AB80" s="3"/>
      <c r="AC80" s="3"/>
    </row>
    <row r="81" spans="1:29" ht="13" x14ac:dyDescent="0.15">
      <c r="A81" s="2">
        <f ca="1">IFERROR(__xludf.DUMMYFUNCTION("""COMPUTED_VALUE"""),45636.5469495023)</f>
        <v>45636.546949502299</v>
      </c>
      <c r="B81" s="3" t="str">
        <f ca="1">IFERROR(__xludf.DUMMYFUNCTION("""COMPUTED_VALUE"""),"jamih@normanps.org")</f>
        <v>jamih@normanps.org</v>
      </c>
      <c r="C81" s="3"/>
      <c r="D81" s="3">
        <f ca="1">IFERROR(__xludf.DUMMYFUNCTION("""COMPUTED_VALUE"""),2)</f>
        <v>2</v>
      </c>
      <c r="E81" s="3"/>
      <c r="F81" s="6"/>
      <c r="G81" s="3"/>
      <c r="H81" s="3"/>
      <c r="I81" s="3"/>
      <c r="J81" s="3" t="str">
        <f ca="1">IFERROR(__xludf.DUMMYFUNCTION("""COMPUTED_VALUE"""),"Science")</f>
        <v>Science</v>
      </c>
      <c r="K81" s="3" t="str">
        <f ca="1">IFERROR(__xludf.DUMMYFUNCTION("""COMPUTED_VALUE"""),"Second")</f>
        <v>Second</v>
      </c>
      <c r="L81" s="3"/>
      <c r="M81" s="3"/>
      <c r="N81" s="3"/>
      <c r="O81" s="3"/>
      <c r="P81" s="3"/>
      <c r="Q81" s="3"/>
      <c r="R81" s="3"/>
      <c r="S81" s="3"/>
      <c r="T81" s="3" t="str">
        <f ca="1">IFERROR(__xludf.DUMMYFUNCTION("""COMPUTED_VALUE"""),"Wilson")</f>
        <v>Wilson</v>
      </c>
      <c r="U81" s="3"/>
      <c r="V81" s="3"/>
      <c r="W81" s="3"/>
      <c r="X81" s="3"/>
      <c r="Y81" s="3"/>
      <c r="Z81" s="3"/>
      <c r="AA81" s="3"/>
      <c r="AB81" s="3"/>
      <c r="AC81" s="3"/>
    </row>
    <row r="82" spans="1:29" ht="13" x14ac:dyDescent="0.15">
      <c r="A82" s="2">
        <f ca="1">IFERROR(__xludf.DUMMYFUNCTION("""COMPUTED_VALUE"""),45636.5472345486)</f>
        <v>45636.547234548598</v>
      </c>
      <c r="B82" s="3" t="str">
        <f ca="1">IFERROR(__xludf.DUMMYFUNCTION("""COMPUTED_VALUE"""),"jamih@normanps.org")</f>
        <v>jamih@normanps.org</v>
      </c>
      <c r="C82" s="3"/>
      <c r="D82" s="3">
        <f ca="1">IFERROR(__xludf.DUMMYFUNCTION("""COMPUTED_VALUE"""),2)</f>
        <v>2</v>
      </c>
      <c r="E82" s="3"/>
      <c r="F82" s="6"/>
      <c r="G82" s="3"/>
      <c r="H82" s="3"/>
      <c r="I82" s="3"/>
      <c r="J82" s="3" t="str">
        <f ca="1">IFERROR(__xludf.DUMMYFUNCTION("""COMPUTED_VALUE"""),"Science")</f>
        <v>Science</v>
      </c>
      <c r="K82" s="3" t="str">
        <f ca="1">IFERROR(__xludf.DUMMYFUNCTION("""COMPUTED_VALUE"""),"Third")</f>
        <v>Third</v>
      </c>
      <c r="L82" s="3"/>
      <c r="M82" s="3"/>
      <c r="N82" s="3"/>
      <c r="O82" s="3"/>
      <c r="P82" s="3"/>
      <c r="Q82" s="3"/>
      <c r="R82" s="3"/>
      <c r="S82" s="3"/>
      <c r="T82" s="3" t="str">
        <f ca="1">IFERROR(__xludf.DUMMYFUNCTION("""COMPUTED_VALUE"""),"Wilson")</f>
        <v>Wilson</v>
      </c>
      <c r="U82" s="3"/>
      <c r="V82" s="3"/>
      <c r="W82" s="3"/>
      <c r="X82" s="3"/>
      <c r="Y82" s="3"/>
      <c r="Z82" s="3"/>
      <c r="AA82" s="3"/>
      <c r="AB82" s="3"/>
      <c r="AC82" s="3"/>
    </row>
    <row r="83" spans="1:29" ht="13" x14ac:dyDescent="0.15">
      <c r="A83" s="2">
        <f ca="1">IFERROR(__xludf.DUMMYFUNCTION("""COMPUTED_VALUE"""),45636.5474806134)</f>
        <v>45636.547480613401</v>
      </c>
      <c r="B83" s="3" t="str">
        <f ca="1">IFERROR(__xludf.DUMMYFUNCTION("""COMPUTED_VALUE"""),"jamih@normanps.org")</f>
        <v>jamih@normanps.org</v>
      </c>
      <c r="C83" s="3"/>
      <c r="D83" s="3">
        <f ca="1">IFERROR(__xludf.DUMMYFUNCTION("""COMPUTED_VALUE"""),2)</f>
        <v>2</v>
      </c>
      <c r="E83" s="3"/>
      <c r="F83" s="6"/>
      <c r="G83" s="3"/>
      <c r="H83" s="3"/>
      <c r="I83" s="3"/>
      <c r="J83" s="3" t="str">
        <f ca="1">IFERROR(__xludf.DUMMYFUNCTION("""COMPUTED_VALUE"""),"Science")</f>
        <v>Science</v>
      </c>
      <c r="K83" s="3" t="str">
        <f ca="1">IFERROR(__xludf.DUMMYFUNCTION("""COMPUTED_VALUE"""),"Fifth")</f>
        <v>Fifth</v>
      </c>
      <c r="L83" s="3"/>
      <c r="M83" s="3"/>
      <c r="N83" s="3"/>
      <c r="O83" s="3"/>
      <c r="P83" s="3"/>
      <c r="Q83" s="3"/>
      <c r="R83" s="3"/>
      <c r="S83" s="3"/>
      <c r="T83" s="3" t="str">
        <f ca="1">IFERROR(__xludf.DUMMYFUNCTION("""COMPUTED_VALUE"""),"Wilson")</f>
        <v>Wilson</v>
      </c>
      <c r="U83" s="3"/>
      <c r="V83" s="3"/>
      <c r="W83" s="3"/>
      <c r="X83" s="3"/>
      <c r="Y83" s="3"/>
      <c r="Z83" s="3"/>
      <c r="AA83" s="3"/>
      <c r="AB83" s="3"/>
      <c r="AC83" s="3"/>
    </row>
    <row r="84" spans="1:29" ht="13" x14ac:dyDescent="0.15">
      <c r="A84" s="2">
        <f ca="1">IFERROR(__xludf.DUMMYFUNCTION("""COMPUTED_VALUE"""),45636.5477978703)</f>
        <v>45636.547797870298</v>
      </c>
      <c r="B84" s="3" t="str">
        <f ca="1">IFERROR(__xludf.DUMMYFUNCTION("""COMPUTED_VALUE"""),"jamih@normanps.org")</f>
        <v>jamih@normanps.org</v>
      </c>
      <c r="C84" s="3"/>
      <c r="D84" s="3">
        <f ca="1">IFERROR(__xludf.DUMMYFUNCTION("""COMPUTED_VALUE"""),1)</f>
        <v>1</v>
      </c>
      <c r="E84" s="3"/>
      <c r="F84" s="6"/>
      <c r="G84" s="3"/>
      <c r="H84" s="3"/>
      <c r="I84" s="3"/>
      <c r="J84" s="3" t="str">
        <f ca="1">IFERROR(__xludf.DUMMYFUNCTION("""COMPUTED_VALUE"""),"ELA")</f>
        <v>ELA</v>
      </c>
      <c r="K84" s="3" t="str">
        <f ca="1">IFERROR(__xludf.DUMMYFUNCTION("""COMPUTED_VALUE"""),"Prek")</f>
        <v>Prek</v>
      </c>
      <c r="L84" s="3"/>
      <c r="M84" s="3"/>
      <c r="N84" s="3"/>
      <c r="O84" s="3"/>
      <c r="P84" s="3"/>
      <c r="Q84" s="3"/>
      <c r="R84" s="3"/>
      <c r="S84" s="3"/>
      <c r="T84" s="3" t="str">
        <f ca="1">IFERROR(__xludf.DUMMYFUNCTION("""COMPUTED_VALUE"""),"Wilson")</f>
        <v>Wilson</v>
      </c>
      <c r="U84" s="3"/>
      <c r="V84" s="3"/>
      <c r="W84" s="3"/>
      <c r="X84" s="3"/>
      <c r="Y84" s="3"/>
      <c r="Z84" s="3"/>
      <c r="AA84" s="3"/>
      <c r="AB84" s="3"/>
      <c r="AC84" s="3"/>
    </row>
    <row r="85" spans="1:29" ht="13" x14ac:dyDescent="0.15">
      <c r="A85" s="2">
        <f ca="1">IFERROR(__xludf.DUMMYFUNCTION("""COMPUTED_VALUE"""),45636.5482369791)</f>
        <v>45636.548236979099</v>
      </c>
      <c r="B85" s="3" t="str">
        <f ca="1">IFERROR(__xludf.DUMMYFUNCTION("""COMPUTED_VALUE"""),"jamih@normanps.org")</f>
        <v>jamih@normanps.org</v>
      </c>
      <c r="C85" s="3"/>
      <c r="D85" s="3">
        <f ca="1">IFERROR(__xludf.DUMMYFUNCTION("""COMPUTED_VALUE"""),2)</f>
        <v>2</v>
      </c>
      <c r="E85" s="3"/>
      <c r="F85" s="6"/>
      <c r="G85" s="3"/>
      <c r="H85" s="3"/>
      <c r="I85" s="3"/>
      <c r="J85" s="3" t="str">
        <f ca="1">IFERROR(__xludf.DUMMYFUNCTION("""COMPUTED_VALUE"""),"ELA")</f>
        <v>ELA</v>
      </c>
      <c r="K85" s="3" t="str">
        <f ca="1">IFERROR(__xludf.DUMMYFUNCTION("""COMPUTED_VALUE"""),"Autism/SPED multi-level elementary")</f>
        <v>Autism/SPED multi-level elementary</v>
      </c>
      <c r="L85" s="3"/>
      <c r="M85" s="3"/>
      <c r="N85" s="3"/>
      <c r="O85" s="3"/>
      <c r="P85" s="3"/>
      <c r="Q85" s="3"/>
      <c r="R85" s="3"/>
      <c r="S85" s="3"/>
      <c r="T85" s="3" t="str">
        <f ca="1">IFERROR(__xludf.DUMMYFUNCTION("""COMPUTED_VALUE"""),"Wilson")</f>
        <v>Wilson</v>
      </c>
      <c r="U85" s="3"/>
      <c r="V85" s="3"/>
      <c r="W85" s="3"/>
      <c r="X85" s="3"/>
      <c r="Y85" s="3"/>
      <c r="Z85" s="3"/>
      <c r="AA85" s="3"/>
      <c r="AB85" s="3"/>
      <c r="AC85" s="3"/>
    </row>
    <row r="86" spans="1:29" ht="13" x14ac:dyDescent="0.15">
      <c r="A86" s="2">
        <f ca="1">IFERROR(__xludf.DUMMYFUNCTION("""COMPUTED_VALUE"""),45636.5513790277)</f>
        <v>45636.551379027696</v>
      </c>
      <c r="B86" s="3" t="str">
        <f ca="1">IFERROR(__xludf.DUMMYFUNCTION("""COMPUTED_VALUE"""),"jamih@normanps.org")</f>
        <v>jamih@normanps.org</v>
      </c>
      <c r="C86" s="3"/>
      <c r="D86" s="3"/>
      <c r="E86" s="3"/>
      <c r="F86" s="6"/>
      <c r="G86" s="3">
        <f ca="1">IFERROR(__xludf.DUMMYFUNCTION("""COMPUTED_VALUE"""),11.5)</f>
        <v>11.5</v>
      </c>
      <c r="H86" s="3"/>
      <c r="I86" s="3"/>
      <c r="J86" s="3"/>
      <c r="K86" s="3"/>
      <c r="L86" s="3" t="str">
        <f ca="1">IFERROR(__xludf.DUMMYFUNCTION("""COMPUTED_VALUE"""),"Pix Brix")</f>
        <v>Pix Brix</v>
      </c>
      <c r="M86" s="3"/>
      <c r="N86" s="3"/>
      <c r="O86" s="3"/>
      <c r="P86" s="3"/>
      <c r="Q86" s="3"/>
      <c r="R86" s="3"/>
      <c r="S86" s="3"/>
      <c r="T86" s="3" t="str">
        <f ca="1">IFERROR(__xludf.DUMMYFUNCTION("""COMPUTED_VALUE"""),"Wilson")</f>
        <v>Wilson</v>
      </c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2">
        <f ca="1">IFERROR(__xludf.DUMMYFUNCTION("""COMPUTED_VALUE"""),45639.6730691087)</f>
        <v>45639.6730691087</v>
      </c>
      <c r="B87" s="3" t="str">
        <f ca="1">IFERROR(__xludf.DUMMYFUNCTION("""COMPUTED_VALUE"""),"jamih@normanps.org")</f>
        <v>jamih@normanps.org</v>
      </c>
      <c r="C87" s="3"/>
      <c r="D87" s="3">
        <f ca="1">IFERROR(__xludf.DUMMYFUNCTION("""COMPUTED_VALUE"""),2)</f>
        <v>2</v>
      </c>
      <c r="E87" s="3"/>
      <c r="F87" s="6"/>
      <c r="G87" s="3"/>
      <c r="H87" s="3"/>
      <c r="I87" s="3"/>
      <c r="J87" s="3" t="str">
        <f ca="1">IFERROR(__xludf.DUMMYFUNCTION("""COMPUTED_VALUE"""),"Science")</f>
        <v>Science</v>
      </c>
      <c r="K87" s="3" t="str">
        <f ca="1">IFERROR(__xludf.DUMMYFUNCTION("""COMPUTED_VALUE"""),"Second")</f>
        <v>Second</v>
      </c>
      <c r="L87" s="3"/>
      <c r="M87" s="3"/>
      <c r="N87" s="3"/>
      <c r="O87" s="3"/>
      <c r="P87" s="3"/>
      <c r="Q87" s="3"/>
      <c r="R87" s="3"/>
      <c r="S87" s="3"/>
      <c r="T87" s="3" t="str">
        <f ca="1">IFERROR(__xludf.DUMMYFUNCTION("""COMPUTED_VALUE"""),"Wilson")</f>
        <v>Wilson</v>
      </c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2">
        <f ca="1">IFERROR(__xludf.DUMMYFUNCTION("""COMPUTED_VALUE"""),45639.6733451157)</f>
        <v>45639.673345115698</v>
      </c>
      <c r="B88" s="3" t="str">
        <f ca="1">IFERROR(__xludf.DUMMYFUNCTION("""COMPUTED_VALUE"""),"jamih@normanps.org")</f>
        <v>jamih@normanps.org</v>
      </c>
      <c r="C88" s="3"/>
      <c r="D88" s="3">
        <f ca="1">IFERROR(__xludf.DUMMYFUNCTION("""COMPUTED_VALUE"""),1)</f>
        <v>1</v>
      </c>
      <c r="E88" s="3"/>
      <c r="F88" s="6"/>
      <c r="G88" s="3"/>
      <c r="H88" s="3"/>
      <c r="I88" s="3"/>
      <c r="J88" s="3" t="str">
        <f ca="1">IFERROR(__xludf.DUMMYFUNCTION("""COMPUTED_VALUE"""),"Science")</f>
        <v>Science</v>
      </c>
      <c r="K88" s="3" t="str">
        <f ca="1">IFERROR(__xludf.DUMMYFUNCTION("""COMPUTED_VALUE"""),"First")</f>
        <v>First</v>
      </c>
      <c r="L88" s="3"/>
      <c r="M88" s="3"/>
      <c r="N88" s="3"/>
      <c r="O88" s="3"/>
      <c r="P88" s="3"/>
      <c r="Q88" s="3"/>
      <c r="R88" s="3"/>
      <c r="S88" s="3"/>
      <c r="T88" s="3" t="str">
        <f ca="1">IFERROR(__xludf.DUMMYFUNCTION("""COMPUTED_VALUE"""),"Wilson")</f>
        <v>Wilson</v>
      </c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2">
        <f ca="1">IFERROR(__xludf.DUMMYFUNCTION("""COMPUTED_VALUE"""),45639.6735492013)</f>
        <v>45639.673549201303</v>
      </c>
      <c r="B89" s="3" t="str">
        <f ca="1">IFERROR(__xludf.DUMMYFUNCTION("""COMPUTED_VALUE"""),"jamih@normanps.org")</f>
        <v>jamih@normanps.org</v>
      </c>
      <c r="C89" s="3"/>
      <c r="D89" s="3">
        <f ca="1">IFERROR(__xludf.DUMMYFUNCTION("""COMPUTED_VALUE"""),2)</f>
        <v>2</v>
      </c>
      <c r="E89" s="3"/>
      <c r="F89" s="6"/>
      <c r="G89" s="3"/>
      <c r="H89" s="3"/>
      <c r="I89" s="3"/>
      <c r="J89" s="3" t="str">
        <f ca="1">IFERROR(__xludf.DUMMYFUNCTION("""COMPUTED_VALUE"""),"Science")</f>
        <v>Science</v>
      </c>
      <c r="K89" s="3" t="str">
        <f ca="1">IFERROR(__xludf.DUMMYFUNCTION("""COMPUTED_VALUE"""),"Third")</f>
        <v>Third</v>
      </c>
      <c r="L89" s="3"/>
      <c r="M89" s="3"/>
      <c r="N89" s="3"/>
      <c r="O89" s="3"/>
      <c r="P89" s="3"/>
      <c r="Q89" s="3"/>
      <c r="R89" s="3"/>
      <c r="S89" s="3"/>
      <c r="T89" s="3" t="str">
        <f ca="1">IFERROR(__xludf.DUMMYFUNCTION("""COMPUTED_VALUE"""),"Wilson")</f>
        <v>Wilson</v>
      </c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2">
        <f ca="1">IFERROR(__xludf.DUMMYFUNCTION("""COMPUTED_VALUE"""),45639.673797662)</f>
        <v>45639.673797661999</v>
      </c>
      <c r="B90" s="3" t="str">
        <f ca="1">IFERROR(__xludf.DUMMYFUNCTION("""COMPUTED_VALUE"""),"jamih@normanps.org")</f>
        <v>jamih@normanps.org</v>
      </c>
      <c r="C90" s="3"/>
      <c r="D90" s="3">
        <f ca="1">IFERROR(__xludf.DUMMYFUNCTION("""COMPUTED_VALUE"""),1)</f>
        <v>1</v>
      </c>
      <c r="E90" s="3"/>
      <c r="F90" s="6"/>
      <c r="G90" s="3"/>
      <c r="H90" s="3"/>
      <c r="I90" s="3"/>
      <c r="J90" s="3" t="str">
        <f ca="1">IFERROR(__xludf.DUMMYFUNCTION("""COMPUTED_VALUE"""),"Science")</f>
        <v>Science</v>
      </c>
      <c r="K90" s="3" t="str">
        <f ca="1">IFERROR(__xludf.DUMMYFUNCTION("""COMPUTED_VALUE"""),"Kindergarten")</f>
        <v>Kindergarten</v>
      </c>
      <c r="L90" s="3"/>
      <c r="M90" s="3"/>
      <c r="N90" s="3"/>
      <c r="O90" s="3"/>
      <c r="P90" s="3"/>
      <c r="Q90" s="3"/>
      <c r="R90" s="3"/>
      <c r="S90" s="3"/>
      <c r="T90" s="3" t="str">
        <f ca="1">IFERROR(__xludf.DUMMYFUNCTION("""COMPUTED_VALUE"""),"Wilson")</f>
        <v>Wilson</v>
      </c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2">
        <f ca="1">IFERROR(__xludf.DUMMYFUNCTION("""COMPUTED_VALUE"""),45639.6740437963)</f>
        <v>45639.674043796302</v>
      </c>
      <c r="B91" s="3" t="str">
        <f ca="1">IFERROR(__xludf.DUMMYFUNCTION("""COMPUTED_VALUE"""),"jamih@normanps.org")</f>
        <v>jamih@normanps.org</v>
      </c>
      <c r="C91" s="3"/>
      <c r="D91" s="3">
        <f ca="1">IFERROR(__xludf.DUMMYFUNCTION("""COMPUTED_VALUE"""),2)</f>
        <v>2</v>
      </c>
      <c r="E91" s="3"/>
      <c r="F91" s="6"/>
      <c r="G91" s="3"/>
      <c r="H91" s="3"/>
      <c r="I91" s="3"/>
      <c r="J91" s="3" t="str">
        <f ca="1">IFERROR(__xludf.DUMMYFUNCTION("""COMPUTED_VALUE"""),"Science")</f>
        <v>Science</v>
      </c>
      <c r="K91" s="3" t="str">
        <f ca="1">IFERROR(__xludf.DUMMYFUNCTION("""COMPUTED_VALUE"""),"Fourth")</f>
        <v>Fourth</v>
      </c>
      <c r="L91" s="3"/>
      <c r="M91" s="3"/>
      <c r="N91" s="3"/>
      <c r="O91" s="3"/>
      <c r="P91" s="3"/>
      <c r="Q91" s="3"/>
      <c r="R91" s="3"/>
      <c r="S91" s="3"/>
      <c r="T91" s="3" t="str">
        <f ca="1">IFERROR(__xludf.DUMMYFUNCTION("""COMPUTED_VALUE"""),"Wilson")</f>
        <v>Wilson</v>
      </c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2">
        <f ca="1">IFERROR(__xludf.DUMMYFUNCTION("""COMPUTED_VALUE"""),45639.6742276388)</f>
        <v>45639.674227638803</v>
      </c>
      <c r="B92" s="3" t="str">
        <f ca="1">IFERROR(__xludf.DUMMYFUNCTION("""COMPUTED_VALUE"""),"jamih@normanps.org")</f>
        <v>jamih@normanps.org</v>
      </c>
      <c r="C92" s="3"/>
      <c r="D92" s="3">
        <f ca="1">IFERROR(__xludf.DUMMYFUNCTION("""COMPUTED_VALUE"""),2)</f>
        <v>2</v>
      </c>
      <c r="E92" s="3"/>
      <c r="F92" s="6"/>
      <c r="G92" s="3"/>
      <c r="H92" s="3"/>
      <c r="I92" s="3"/>
      <c r="J92" s="3" t="str">
        <f ca="1">IFERROR(__xludf.DUMMYFUNCTION("""COMPUTED_VALUE"""),"Science")</f>
        <v>Science</v>
      </c>
      <c r="K92" s="3" t="str">
        <f ca="1">IFERROR(__xludf.DUMMYFUNCTION("""COMPUTED_VALUE"""),"Fifth")</f>
        <v>Fifth</v>
      </c>
      <c r="L92" s="3"/>
      <c r="M92" s="3"/>
      <c r="N92" s="3"/>
      <c r="O92" s="3"/>
      <c r="P92" s="3"/>
      <c r="Q92" s="3"/>
      <c r="R92" s="3"/>
      <c r="S92" s="3"/>
      <c r="T92" s="3" t="str">
        <f ca="1">IFERROR(__xludf.DUMMYFUNCTION("""COMPUTED_VALUE"""),"Wilson")</f>
        <v>Wilson</v>
      </c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2">
        <f ca="1">IFERROR(__xludf.DUMMYFUNCTION("""COMPUTED_VALUE"""),45639.6748772685)</f>
        <v>45639.674877268502</v>
      </c>
      <c r="B93" s="3" t="str">
        <f ca="1">IFERROR(__xludf.DUMMYFUNCTION("""COMPUTED_VALUE"""),"jamih@normanps.org")</f>
        <v>jamih@normanps.org</v>
      </c>
      <c r="C93" s="3"/>
      <c r="D93" s="3">
        <f ca="1">IFERROR(__xludf.DUMMYFUNCTION("""COMPUTED_VALUE"""),1)</f>
        <v>1</v>
      </c>
      <c r="E93" s="3"/>
      <c r="F93" s="6"/>
      <c r="G93" s="3"/>
      <c r="H93" s="3"/>
      <c r="I93" s="3"/>
      <c r="J93" s="3" t="str">
        <f ca="1">IFERROR(__xludf.DUMMYFUNCTION("""COMPUTED_VALUE"""),"Science")</f>
        <v>Science</v>
      </c>
      <c r="K93" s="3" t="str">
        <f ca="1">IFERROR(__xludf.DUMMYFUNCTION("""COMPUTED_VALUE"""),"Prek")</f>
        <v>Prek</v>
      </c>
      <c r="L93" s="3"/>
      <c r="M93" s="3"/>
      <c r="N93" s="3"/>
      <c r="O93" s="3"/>
      <c r="P93" s="3"/>
      <c r="Q93" s="3"/>
      <c r="R93" s="3"/>
      <c r="S93" s="3"/>
      <c r="T93" s="3" t="str">
        <f ca="1">IFERROR(__xludf.DUMMYFUNCTION("""COMPUTED_VALUE"""),"Wilson")</f>
        <v>Wilson</v>
      </c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2">
        <f ca="1">IFERROR(__xludf.DUMMYFUNCTION("""COMPUTED_VALUE"""),45639.6751556828)</f>
        <v>45639.675155682802</v>
      </c>
      <c r="B94" s="3" t="str">
        <f ca="1">IFERROR(__xludf.DUMMYFUNCTION("""COMPUTED_VALUE"""),"jamih@normanps.org")</f>
        <v>jamih@normanps.org</v>
      </c>
      <c r="C94" s="3"/>
      <c r="D94" s="3">
        <f ca="1">IFERROR(__xludf.DUMMYFUNCTION("""COMPUTED_VALUE"""),1)</f>
        <v>1</v>
      </c>
      <c r="E94" s="3"/>
      <c r="F94" s="6"/>
      <c r="G94" s="3"/>
      <c r="H94" s="3"/>
      <c r="I94" s="3"/>
      <c r="J94" s="3" t="str">
        <f ca="1">IFERROR(__xludf.DUMMYFUNCTION("""COMPUTED_VALUE"""),"Science")</f>
        <v>Science</v>
      </c>
      <c r="K94" s="3" t="str">
        <f ca="1">IFERROR(__xludf.DUMMYFUNCTION("""COMPUTED_VALUE"""),"Autism/SPED multi-level elementary")</f>
        <v>Autism/SPED multi-level elementary</v>
      </c>
      <c r="L94" s="3"/>
      <c r="M94" s="3"/>
      <c r="N94" s="3"/>
      <c r="O94" s="3"/>
      <c r="P94" s="3"/>
      <c r="Q94" s="3"/>
      <c r="R94" s="3"/>
      <c r="S94" s="3"/>
      <c r="T94" s="3" t="str">
        <f ca="1">IFERROR(__xludf.DUMMYFUNCTION("""COMPUTED_VALUE"""),"Wilson")</f>
        <v>Wilson</v>
      </c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2">
        <f ca="1">IFERROR(__xludf.DUMMYFUNCTION("""COMPUTED_VALUE"""),45639.67533478)</f>
        <v>45639.675334779997</v>
      </c>
      <c r="B95" s="3" t="str">
        <f ca="1">IFERROR(__xludf.DUMMYFUNCTION("""COMPUTED_VALUE"""),"jamih@normanps.org")</f>
        <v>jamih@normanps.org</v>
      </c>
      <c r="C95" s="3"/>
      <c r="D95" s="3">
        <f ca="1">IFERROR(__xludf.DUMMYFUNCTION("""COMPUTED_VALUE"""),1)</f>
        <v>1</v>
      </c>
      <c r="E95" s="3"/>
      <c r="F95" s="6"/>
      <c r="G95" s="3"/>
      <c r="H95" s="3"/>
      <c r="I95" s="3"/>
      <c r="J95" s="3" t="str">
        <f ca="1">IFERROR(__xludf.DUMMYFUNCTION("""COMPUTED_VALUE"""),"ELA")</f>
        <v>ELA</v>
      </c>
      <c r="K95" s="3" t="str">
        <f ca="1">IFERROR(__xludf.DUMMYFUNCTION("""COMPUTED_VALUE"""),"Autism/SPED multi-level elementary")</f>
        <v>Autism/SPED multi-level elementary</v>
      </c>
      <c r="L95" s="3"/>
      <c r="M95" s="3"/>
      <c r="N95" s="3"/>
      <c r="O95" s="3"/>
      <c r="P95" s="3"/>
      <c r="Q95" s="3"/>
      <c r="R95" s="3"/>
      <c r="S95" s="3"/>
      <c r="T95" s="3" t="str">
        <f ca="1">IFERROR(__xludf.DUMMYFUNCTION("""COMPUTED_VALUE"""),"Wilson")</f>
        <v>Wilson</v>
      </c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2">
        <f ca="1">IFERROR(__xludf.DUMMYFUNCTION("""COMPUTED_VALUE"""),45639.6790828009)</f>
        <v>45639.679082800903</v>
      </c>
      <c r="B96" s="3" t="str">
        <f ca="1">IFERROR(__xludf.DUMMYFUNCTION("""COMPUTED_VALUE"""),"jamih@normanps.org")</f>
        <v>jamih@normanps.org</v>
      </c>
      <c r="C96" s="3"/>
      <c r="D96" s="3"/>
      <c r="E96" s="3"/>
      <c r="F96" s="6"/>
      <c r="G96" s="3">
        <f ca="1">IFERROR(__xludf.DUMMYFUNCTION("""COMPUTED_VALUE"""),4.33)</f>
        <v>4.33</v>
      </c>
      <c r="H96" s="3"/>
      <c r="I96" s="3"/>
      <c r="J96" s="3"/>
      <c r="K96" s="3"/>
      <c r="L96" s="3"/>
      <c r="M96" s="3"/>
      <c r="N96" s="3"/>
      <c r="O96" s="3"/>
      <c r="P96" s="3"/>
      <c r="Q96" s="3" t="str">
        <f ca="1">IFERROR(__xludf.DUMMYFUNCTION("""COMPUTED_VALUE"""),"Holiday Art Night")</f>
        <v>Holiday Art Night</v>
      </c>
      <c r="R96" s="3"/>
      <c r="S96" s="3"/>
      <c r="T96" s="3" t="str">
        <f ca="1">IFERROR(__xludf.DUMMYFUNCTION("""COMPUTED_VALUE"""),"Wilson")</f>
        <v>Wilson</v>
      </c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2">
        <f ca="1">IFERROR(__xludf.DUMMYFUNCTION("""COMPUTED_VALUE"""),45644.5424011111)</f>
        <v>45644.542401111103</v>
      </c>
      <c r="B97" s="3" t="str">
        <f ca="1">IFERROR(__xludf.DUMMYFUNCTION("""COMPUTED_VALUE"""),"sschrank@normanps.org")</f>
        <v>sschrank@normanps.org</v>
      </c>
      <c r="C97" s="3">
        <f ca="1">IFERROR(__xludf.DUMMYFUNCTION("""COMPUTED_VALUE"""),1746)</f>
        <v>1746</v>
      </c>
      <c r="D97" s="3"/>
      <c r="E97" s="3"/>
      <c r="F97" s="6"/>
      <c r="G97" s="3"/>
      <c r="H97" s="3"/>
      <c r="I97" s="3"/>
      <c r="J97" s="3"/>
      <c r="K97" s="3"/>
      <c r="L97" s="3"/>
      <c r="M97" s="3"/>
      <c r="N97" s="3">
        <f ca="1">IFERROR(__xludf.DUMMYFUNCTION("""COMPUTED_VALUE"""),44)</f>
        <v>44</v>
      </c>
      <c r="O97" s="3"/>
      <c r="P97" s="3"/>
      <c r="Q97" s="3"/>
      <c r="R97" s="3"/>
      <c r="S97" s="3"/>
      <c r="T97" s="3" t="str">
        <f ca="1">IFERROR(__xludf.DUMMYFUNCTION("""COMPUTED_VALUE"""),"Wilson")</f>
        <v>Wilson</v>
      </c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2">
        <f ca="1">IFERROR(__xludf.DUMMYFUNCTION("""COMPUTED_VALUE"""),45672.3463318865)</f>
        <v>45672.346331886503</v>
      </c>
      <c r="B98" s="3" t="str">
        <f ca="1">IFERROR(__xludf.DUMMYFUNCTION("""COMPUTED_VALUE"""),"sschrank@normanps.org")</f>
        <v>sschrank@normanps.org</v>
      </c>
      <c r="C98" s="3">
        <f ca="1">IFERROR(__xludf.DUMMYFUNCTION("""COMPUTED_VALUE"""),691)</f>
        <v>691</v>
      </c>
      <c r="D98" s="3"/>
      <c r="E98" s="3"/>
      <c r="F98" s="6"/>
      <c r="G98" s="3"/>
      <c r="H98" s="3"/>
      <c r="I98" s="3"/>
      <c r="J98" s="3"/>
      <c r="K98" s="3"/>
      <c r="L98" s="3"/>
      <c r="M98" s="3"/>
      <c r="N98" s="3">
        <f ca="1">IFERROR(__xludf.DUMMYFUNCTION("""COMPUTED_VALUE"""),8)</f>
        <v>8</v>
      </c>
      <c r="O98" s="3"/>
      <c r="P98" s="3"/>
      <c r="Q98" s="3"/>
      <c r="R98" s="3"/>
      <c r="S98" s="3"/>
      <c r="T98" s="3" t="str">
        <f ca="1">IFERROR(__xludf.DUMMYFUNCTION("""COMPUTED_VALUE"""),"Wilson")</f>
        <v>Wilson</v>
      </c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2">
        <f ca="1">IFERROR(__xludf.DUMMYFUNCTION("""COMPUTED_VALUE"""),45693.4850117592)</f>
        <v>45693.4850117592</v>
      </c>
      <c r="B99" s="3" t="str">
        <f ca="1">IFERROR(__xludf.DUMMYFUNCTION("""COMPUTED_VALUE"""),"sschrank@normanps.org")</f>
        <v>sschrank@normanps.org</v>
      </c>
      <c r="C99" s="3">
        <f ca="1">IFERROR(__xludf.DUMMYFUNCTION("""COMPUTED_VALUE"""),662)</f>
        <v>662</v>
      </c>
      <c r="D99" s="3"/>
      <c r="E99" s="3"/>
      <c r="F99" s="6"/>
      <c r="G99" s="3"/>
      <c r="H99" s="3"/>
      <c r="I99" s="3"/>
      <c r="J99" s="3"/>
      <c r="K99" s="3"/>
      <c r="L99" s="3"/>
      <c r="M99" s="3"/>
      <c r="N99" s="3">
        <f ca="1">IFERROR(__xludf.DUMMYFUNCTION("""COMPUTED_VALUE"""),13)</f>
        <v>13</v>
      </c>
      <c r="O99" s="3"/>
      <c r="P99" s="3"/>
      <c r="Q99" s="3"/>
      <c r="R99" s="3"/>
      <c r="S99" s="3"/>
      <c r="T99" s="3" t="str">
        <f ca="1">IFERROR(__xludf.DUMMYFUNCTION("""COMPUTED_VALUE"""),"Wilson")</f>
        <v>Wilson</v>
      </c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2">
        <f ca="1">IFERROR(__xludf.DUMMYFUNCTION("""COMPUTED_VALUE"""),45546.5974305555)</f>
        <v>45546.597430555499</v>
      </c>
      <c r="B100" s="3" t="str">
        <f ca="1">IFERROR(__xludf.DUMMYFUNCTION("""COMPUTED_VALUE"""),"akordelis2@normanps.org")</f>
        <v>akordelis2@normanps.org</v>
      </c>
      <c r="C100" s="3">
        <f ca="1">IFERROR(__xludf.DUMMYFUNCTION("""COMPUTED_VALUE"""),1)</f>
        <v>1</v>
      </c>
      <c r="D100" s="3">
        <f ca="1">IFERROR(__xludf.DUMMYFUNCTION("""COMPUTED_VALUE"""),1)</f>
        <v>1</v>
      </c>
      <c r="E100" s="3">
        <f ca="1">IFERROR(__xludf.DUMMYFUNCTION("""COMPUTED_VALUE"""),1)</f>
        <v>1</v>
      </c>
      <c r="F100" s="6">
        <f ca="1">IFERROR(__xludf.DUMMYFUNCTION("""COMPUTED_VALUE"""),1)</f>
        <v>1</v>
      </c>
      <c r="G100" s="3">
        <f ca="1">IFERROR(__xludf.DUMMYFUNCTION("""COMPUTED_VALUE"""),1)</f>
        <v>1</v>
      </c>
      <c r="H100" s="3">
        <f ca="1">IFERROR(__xludf.DUMMYFUNCTION("""COMPUTED_VALUE"""),1)</f>
        <v>1</v>
      </c>
      <c r="I100" s="3" t="str">
        <f ca="1">IFERROR(__xludf.DUMMYFUNCTION("""COMPUTED_VALUE"""),"Inquire")</f>
        <v>Inquire</v>
      </c>
      <c r="J100" s="3" t="str">
        <f ca="1">IFERROR(__xludf.DUMMYFUNCTION("""COMPUTED_VALUE"""),"ELA")</f>
        <v>ELA</v>
      </c>
      <c r="K100" s="3" t="str">
        <f ca="1">IFERROR(__xludf.DUMMYFUNCTION("""COMPUTED_VALUE"""),"Prek")</f>
        <v>Prek</v>
      </c>
      <c r="L100" s="3" t="str">
        <f ca="1">IFERROR(__xludf.DUMMYFUNCTION("""COMPUTED_VALUE"""),"Air Dry Clay")</f>
        <v>Air Dry Clay</v>
      </c>
      <c r="M100" s="3">
        <f ca="1">IFERROR(__xludf.DUMMYFUNCTION("""COMPUTED_VALUE"""),1)</f>
        <v>1</v>
      </c>
      <c r="N100" s="3">
        <f ca="1">IFERROR(__xludf.DUMMYFUNCTION("""COMPUTED_VALUE"""),1)</f>
        <v>1</v>
      </c>
      <c r="O100" s="3">
        <f ca="1">IFERROR(__xludf.DUMMYFUNCTION("""COMPUTED_VALUE"""),1)</f>
        <v>1</v>
      </c>
      <c r="P100" s="3" t="str">
        <f ca="1">IFERROR(__xludf.DUMMYFUNCTION("""COMPUTED_VALUE"""),"Pioneer")</f>
        <v>Pioneer</v>
      </c>
      <c r="Q100" s="3" t="str">
        <f ca="1">IFERROR(__xludf.DUMMYFUNCTION("""COMPUTED_VALUE"""),"OLA")</f>
        <v>OLA</v>
      </c>
      <c r="R100" s="3" t="str">
        <f ca="1">IFERROR(__xludf.DUMMYFUNCTION("""COMPUTED_VALUE"""),"Literacy Night")</f>
        <v>Literacy Night</v>
      </c>
      <c r="S100" s="3">
        <f ca="1">IFERROR(__xludf.DUMMYFUNCTION("""COMPUTED_VALUE"""),1)</f>
        <v>1</v>
      </c>
      <c r="T100" s="3" t="str">
        <f ca="1">IFERROR(__xludf.DUMMYFUNCTION("""COMPUTED_VALUE"""),"Wilson")</f>
        <v>Wilson</v>
      </c>
      <c r="U100" s="3"/>
      <c r="V100" s="3"/>
      <c r="W100" s="3"/>
      <c r="X100" s="3"/>
      <c r="Y100" s="3"/>
      <c r="Z100" s="3"/>
      <c r="AA100" s="3"/>
      <c r="AB100" s="3"/>
      <c r="AC100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J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15.75" customHeight="1" x14ac:dyDescent="0.15">
      <c r="A1" s="1" t="str">
        <f ca="1">IFERROR(__xludf.DUMMYFUNCTION("QUERY('District Data'!A:AC, ""SELECT * WHERE T = 'Alcott'"",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5.75" customHeight="1" x14ac:dyDescent="0.15">
      <c r="A2" s="2">
        <f ca="1">IFERROR(__xludf.DUMMYFUNCTION("""COMPUTED_VALUE"""),45506.4219282291)</f>
        <v>45506.421928229101</v>
      </c>
      <c r="B2" s="3" t="str">
        <f ca="1">IFERROR(__xludf.DUMMYFUNCTION("""COMPUTED_VALUE"""),"bbozarth@normanps.org")</f>
        <v>bbozarth@normanps.org</v>
      </c>
      <c r="C2" s="3">
        <f ca="1">IFERROR(__xludf.DUMMYFUNCTION("""COMPUTED_VALUE"""),9)</f>
        <v>9</v>
      </c>
      <c r="D2" s="3">
        <f ca="1">IFERROR(__xludf.DUMMYFUNCTION("""COMPUTED_VALUE"""),15)</f>
        <v>15</v>
      </c>
      <c r="E2" s="3">
        <f ca="1">IFERROR(__xludf.DUMMYFUNCTION("""COMPUTED_VALUE"""),43)</f>
        <v>43</v>
      </c>
      <c r="F2" s="6">
        <f ca="1">IFERROR(__xludf.DUMMYFUNCTION("""COMPUTED_VALUE"""),4)</f>
        <v>4</v>
      </c>
      <c r="G2" s="3">
        <f ca="1">IFERROR(__xludf.DUMMYFUNCTION("""COMPUTED_VALUE"""),6)</f>
        <v>6</v>
      </c>
      <c r="H2" s="3"/>
      <c r="I2" s="3" t="str">
        <f ca="1">IFERROR(__xludf.DUMMYFUNCTION("""COMPUTED_VALUE"""),"Explore")</f>
        <v>Explore</v>
      </c>
      <c r="J2" s="3" t="str">
        <f ca="1">IFERROR(__xludf.DUMMYFUNCTION("""COMPUTED_VALUE"""),"Math")</f>
        <v>Math</v>
      </c>
      <c r="K2" s="3" t="str">
        <f ca="1">IFERROR(__xludf.DUMMYFUNCTION("""COMPUTED_VALUE"""),"Tenth")</f>
        <v>Tenth</v>
      </c>
      <c r="L2" s="3" t="str">
        <f ca="1">IFERROR(__xludf.DUMMYFUNCTION("""COMPUTED_VALUE"""),"Stop Motion")</f>
        <v>Stop Motion</v>
      </c>
      <c r="M2" s="3">
        <f ca="1">IFERROR(__xludf.DUMMYFUNCTION("""COMPUTED_VALUE"""),4)</f>
        <v>4</v>
      </c>
      <c r="N2" s="3">
        <f ca="1">IFERROR(__xludf.DUMMYFUNCTION("""COMPUTED_VALUE"""),25)</f>
        <v>25</v>
      </c>
      <c r="O2" s="3">
        <f ca="1">IFERROR(__xludf.DUMMYFUNCTION("""COMPUTED_VALUE"""),4)</f>
        <v>4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IFERROR(__xludf.DUMMYFUNCTION("""COMPUTED_VALUE"""),"Alcott")</f>
        <v>Alcott</v>
      </c>
      <c r="U2" s="3"/>
      <c r="V2" s="3"/>
      <c r="W2" s="3"/>
      <c r="X2" s="3"/>
      <c r="Y2" s="3"/>
      <c r="Z2" s="3"/>
      <c r="AA2" s="3"/>
      <c r="AB2" s="3"/>
      <c r="AC2" s="3"/>
    </row>
    <row r="3" spans="1:36" ht="15.75" customHeight="1" x14ac:dyDescent="0.15">
      <c r="A3" s="2">
        <f ca="1">IFERROR(__xludf.DUMMYFUNCTION("""COMPUTED_VALUE"""),45520.5159248379)</f>
        <v>45520.515924837899</v>
      </c>
      <c r="B3" s="3" t="str">
        <f ca="1">IFERROR(__xludf.DUMMYFUNCTION("""COMPUTED_VALUE"""),"bbozarth@normanps.org")</f>
        <v>bbozarth@normanps.org</v>
      </c>
      <c r="C3" s="3">
        <f ca="1">IFERROR(__xludf.DUMMYFUNCTION("""COMPUTED_VALUE"""),9)</f>
        <v>9</v>
      </c>
      <c r="D3" s="3">
        <f ca="1">IFERROR(__xludf.DUMMYFUNCTION("""COMPUTED_VALUE"""),1)</f>
        <v>1</v>
      </c>
      <c r="E3" s="3">
        <f ca="1">IFERROR(__xludf.DUMMYFUNCTION("""COMPUTED_VALUE"""),2)</f>
        <v>2</v>
      </c>
      <c r="F3" s="6">
        <f ca="1">IFERROR(__xludf.DUMMYFUNCTION("""COMPUTED_VALUE"""),5)</f>
        <v>5</v>
      </c>
      <c r="G3" s="3">
        <f ca="1">IFERROR(__xludf.DUMMYFUNCTION("""COMPUTED_VALUE"""),5)</f>
        <v>5</v>
      </c>
      <c r="H3" s="3"/>
      <c r="I3" s="3" t="str">
        <f ca="1">IFERROR(__xludf.DUMMYFUNCTION("""COMPUTED_VALUE"""),"Explore")</f>
        <v>Explore</v>
      </c>
      <c r="J3" s="3" t="str">
        <f ca="1">IFERROR(__xludf.DUMMYFUNCTION("""COMPUTED_VALUE"""),"ELA")</f>
        <v>ELA</v>
      </c>
      <c r="K3" s="3" t="str">
        <f ca="1">IFERROR(__xludf.DUMMYFUNCTION("""COMPUTED_VALUE"""),"Seventh")</f>
        <v>Seventh</v>
      </c>
      <c r="L3" s="3" t="str">
        <f ca="1">IFERROR(__xludf.DUMMYFUNCTION("""COMPUTED_VALUE"""),"Stop Motion")</f>
        <v>Stop Motion</v>
      </c>
      <c r="M3" s="3">
        <f ca="1">IFERROR(__xludf.DUMMYFUNCTION("""COMPUTED_VALUE"""),3)</f>
        <v>3</v>
      </c>
      <c r="N3" s="3">
        <f ca="1">IFERROR(__xludf.DUMMYFUNCTION("""COMPUTED_VALUE"""),26)</f>
        <v>26</v>
      </c>
      <c r="O3" s="3">
        <f ca="1">IFERROR(__xludf.DUMMYFUNCTION("""COMPUTED_VALUE"""),4)</f>
        <v>4</v>
      </c>
      <c r="P3" s="3" t="str">
        <f ca="1">IFERROR(__xludf.DUMMYFUNCTION("""COMPUTED_VALUE"""),"Pioneer")</f>
        <v>Pioneer</v>
      </c>
      <c r="Q3" s="3" t="str">
        <f ca="1">IFERROR(__xludf.DUMMYFUNCTION("""COMPUTED_VALUE"""),"OLA")</f>
        <v>OLA</v>
      </c>
      <c r="R3" s="3" t="str">
        <f ca="1">IFERROR(__xludf.DUMMYFUNCTION("""COMPUTED_VALUE"""),"Literacy Night")</f>
        <v>Literacy Night</v>
      </c>
      <c r="S3" s="3">
        <f ca="1">IFERROR(__xludf.DUMMYFUNCTION("""COMPUTED_VALUE"""),1)</f>
        <v>1</v>
      </c>
      <c r="T3" s="3" t="str">
        <f ca="1">IFERROR(__xludf.DUMMYFUNCTION("""COMPUTED_VALUE"""),"Alcott")</f>
        <v>Alcott</v>
      </c>
      <c r="U3" s="3"/>
      <c r="V3" s="3"/>
      <c r="W3" s="3"/>
      <c r="X3" s="3"/>
      <c r="Y3" s="3"/>
      <c r="Z3" s="3"/>
      <c r="AA3" s="3"/>
      <c r="AB3" s="3"/>
      <c r="AC3" s="3"/>
    </row>
    <row r="4" spans="1:36" ht="15.75" customHeight="1" x14ac:dyDescent="0.15">
      <c r="A4" s="2">
        <f ca="1">IFERROR(__xludf.DUMMYFUNCTION("""COMPUTED_VALUE"""),45527.4001575115)</f>
        <v>45527.400157511503</v>
      </c>
      <c r="B4" s="3" t="str">
        <f ca="1">IFERROR(__xludf.DUMMYFUNCTION("""COMPUTED_VALUE"""),"bbozarth@normanps.org")</f>
        <v>bbozarth@normanps.org</v>
      </c>
      <c r="C4" s="3">
        <f ca="1">IFERROR(__xludf.DUMMYFUNCTION("""COMPUTED_VALUE"""),7)</f>
        <v>7</v>
      </c>
      <c r="D4" s="3">
        <f ca="1">IFERROR(__xludf.DUMMYFUNCTION("""COMPUTED_VALUE"""),4)</f>
        <v>4</v>
      </c>
      <c r="E4" s="3">
        <f ca="1">IFERROR(__xludf.DUMMYFUNCTION("""COMPUTED_VALUE"""),13)</f>
        <v>13</v>
      </c>
      <c r="F4" s="6">
        <f ca="1">IFERROR(__xludf.DUMMYFUNCTION("""COMPUTED_VALUE"""),6)</f>
        <v>6</v>
      </c>
      <c r="G4" s="3">
        <f ca="1">IFERROR(__xludf.DUMMYFUNCTION("""COMPUTED_VALUE"""),4)</f>
        <v>4</v>
      </c>
      <c r="H4" s="3"/>
      <c r="I4" s="3" t="str">
        <f ca="1">IFERROR(__xludf.DUMMYFUNCTION("""COMPUTED_VALUE"""),"Explore")</f>
        <v>Explore</v>
      </c>
      <c r="J4" s="3" t="str">
        <f ca="1">IFERROR(__xludf.DUMMYFUNCTION("""COMPUTED_VALUE"""),"ELA")</f>
        <v>ELA</v>
      </c>
      <c r="K4" s="3" t="str">
        <f ca="1">IFERROR(__xludf.DUMMYFUNCTION("""COMPUTED_VALUE"""),"Seventh")</f>
        <v>Seventh</v>
      </c>
      <c r="L4" s="3" t="str">
        <f ca="1">IFERROR(__xludf.DUMMYFUNCTION("""COMPUTED_VALUE"""),"Stop Motion")</f>
        <v>Stop Motion</v>
      </c>
      <c r="M4" s="3">
        <f ca="1">IFERROR(__xludf.DUMMYFUNCTION("""COMPUTED_VALUE"""),17)</f>
        <v>17</v>
      </c>
      <c r="N4" s="3">
        <f ca="1">IFERROR(__xludf.DUMMYFUNCTION("""COMPUTED_VALUE"""),26)</f>
        <v>26</v>
      </c>
      <c r="O4" s="3">
        <f ca="1">IFERROR(__xludf.DUMMYFUNCTION("""COMPUTED_VALUE"""),4)</f>
        <v>4</v>
      </c>
      <c r="P4" s="3" t="str">
        <f ca="1">IFERROR(__xludf.DUMMYFUNCTION("""COMPUTED_VALUE"""),"Pioneer")</f>
        <v>Pioneer</v>
      </c>
      <c r="Q4" s="3" t="str">
        <f ca="1">IFERROR(__xludf.DUMMYFUNCTION("""COMPUTED_VALUE"""),"OLA")</f>
        <v>OLA</v>
      </c>
      <c r="R4" s="3" t="str">
        <f ca="1">IFERROR(__xludf.DUMMYFUNCTION("""COMPUTED_VALUE"""),"Literacy Night")</f>
        <v>Literacy Night</v>
      </c>
      <c r="S4" s="3">
        <f ca="1">IFERROR(__xludf.DUMMYFUNCTION("""COMPUTED_VALUE"""),1)</f>
        <v>1</v>
      </c>
      <c r="T4" s="3" t="str">
        <f ca="1">IFERROR(__xludf.DUMMYFUNCTION("""COMPUTED_VALUE"""),"Alcott")</f>
        <v>Alcott</v>
      </c>
      <c r="U4" s="3"/>
      <c r="V4" s="3"/>
      <c r="W4" s="3"/>
      <c r="X4" s="3"/>
      <c r="Y4" s="3"/>
      <c r="Z4" s="3"/>
      <c r="AA4" s="3"/>
      <c r="AB4" s="3"/>
      <c r="AC4" s="3"/>
    </row>
    <row r="5" spans="1:36" ht="15.75" customHeight="1" x14ac:dyDescent="0.15">
      <c r="A5" s="2">
        <f ca="1">IFERROR(__xludf.DUMMYFUNCTION("""COMPUTED_VALUE"""),45527.40042728)</f>
        <v>45527.400427280001</v>
      </c>
      <c r="B5" s="3" t="str">
        <f ca="1">IFERROR(__xludf.DUMMYFUNCTION("""COMPUTED_VALUE"""),"bbozarth@normanps.org")</f>
        <v>bbozarth@normanps.org</v>
      </c>
      <c r="C5" s="3">
        <f ca="1">IFERROR(__xludf.DUMMYFUNCTION("""COMPUTED_VALUE"""),6)</f>
        <v>6</v>
      </c>
      <c r="D5" s="3"/>
      <c r="E5" s="3">
        <f ca="1">IFERROR(__xludf.DUMMYFUNCTION("""COMPUTED_VALUE"""),1)</f>
        <v>1</v>
      </c>
      <c r="F5" s="6">
        <f ca="1">IFERROR(__xludf.DUMMYFUNCTION("""COMPUTED_VALUE"""),6)</f>
        <v>6</v>
      </c>
      <c r="G5" s="3">
        <f ca="1">IFERROR(__xludf.DUMMYFUNCTION("""COMPUTED_VALUE"""),3)</f>
        <v>3</v>
      </c>
      <c r="H5" s="3"/>
      <c r="I5" s="3" t="str">
        <f ca="1">IFERROR(__xludf.DUMMYFUNCTION("""COMPUTED_VALUE"""),"Explore")</f>
        <v>Explore</v>
      </c>
      <c r="J5" s="3" t="str">
        <f ca="1">IFERROR(__xludf.DUMMYFUNCTION("""COMPUTED_VALUE"""),"ELA")</f>
        <v>ELA</v>
      </c>
      <c r="K5" s="3" t="str">
        <f ca="1">IFERROR(__xludf.DUMMYFUNCTION("""COMPUTED_VALUE"""),"Eighth")</f>
        <v>Eighth</v>
      </c>
      <c r="L5" s="3" t="str">
        <f ca="1">IFERROR(__xludf.DUMMYFUNCTION("""COMPUTED_VALUE"""),"Stop Motion")</f>
        <v>Stop Motion</v>
      </c>
      <c r="M5" s="3">
        <f ca="1">IFERROR(__xludf.DUMMYFUNCTION("""COMPUTED_VALUE"""),23)</f>
        <v>23</v>
      </c>
      <c r="N5" s="3">
        <f ca="1">IFERROR(__xludf.DUMMYFUNCTION("""COMPUTED_VALUE"""),26)</f>
        <v>26</v>
      </c>
      <c r="O5" s="3">
        <f ca="1">IFERROR(__xludf.DUMMYFUNCTION("""COMPUTED_VALUE"""),4)</f>
        <v>4</v>
      </c>
      <c r="P5" s="3" t="str">
        <f ca="1">IFERROR(__xludf.DUMMYFUNCTION("""COMPUTED_VALUE"""),"Pioneer")</f>
        <v>Pioneer</v>
      </c>
      <c r="Q5" s="3" t="str">
        <f ca="1">IFERROR(__xludf.DUMMYFUNCTION("""COMPUTED_VALUE"""),"OLA")</f>
        <v>OLA</v>
      </c>
      <c r="R5" s="3" t="str">
        <f ca="1">IFERROR(__xludf.DUMMYFUNCTION("""COMPUTED_VALUE"""),"Literacy Night")</f>
        <v>Literacy Night</v>
      </c>
      <c r="S5" s="3">
        <f ca="1">IFERROR(__xludf.DUMMYFUNCTION("""COMPUTED_VALUE"""),1)</f>
        <v>1</v>
      </c>
      <c r="T5" s="3" t="str">
        <f ca="1">IFERROR(__xludf.DUMMYFUNCTION("""COMPUTED_VALUE"""),"Alcott")</f>
        <v>Alcott</v>
      </c>
      <c r="U5" s="3"/>
      <c r="V5" s="3"/>
      <c r="W5" s="3"/>
      <c r="X5" s="3"/>
      <c r="Y5" s="3"/>
      <c r="Z5" s="3"/>
      <c r="AA5" s="3"/>
      <c r="AB5" s="3"/>
      <c r="AC5" s="3"/>
    </row>
    <row r="6" spans="1:36" ht="15.75" customHeight="1" x14ac:dyDescent="0.15">
      <c r="A6" s="2">
        <f ca="1">IFERROR(__xludf.DUMMYFUNCTION("""COMPUTED_VALUE"""),45538.4115659374)</f>
        <v>45538.4115659374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IFERROR(__xludf.DUMMYFUNCTION("""COMPUTED_VALUE"""),882)</f>
        <v>882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IFERROR(__xludf.DUMMYFUNCTION("""COMPUTED_VALUE"""),133)</f>
        <v>133</v>
      </c>
      <c r="O6" s="3">
        <f ca="1">IFERROR(__xludf.DUMMYFUNCTION("""COMPUTED_VALUE"""),0)</f>
        <v>0</v>
      </c>
      <c r="P6" s="3"/>
      <c r="Q6" s="3"/>
      <c r="R6" s="3"/>
      <c r="S6" s="3"/>
      <c r="T6" s="3" t="str">
        <f ca="1">IFERROR(__xludf.DUMMYFUNCTION("""COMPUTED_VALUE"""),"Alcott")</f>
        <v>Alcott</v>
      </c>
      <c r="U6" s="3"/>
      <c r="V6" s="3"/>
      <c r="W6" s="3"/>
      <c r="X6" s="3"/>
      <c r="Y6" s="3"/>
      <c r="Z6" s="3"/>
      <c r="AA6" s="3"/>
      <c r="AB6" s="3"/>
      <c r="AC6" s="3"/>
    </row>
    <row r="7" spans="1:36" ht="15.75" customHeight="1" x14ac:dyDescent="0.15">
      <c r="A7" s="2">
        <f ca="1">IFERROR(__xludf.DUMMYFUNCTION("""COMPUTED_VALUE"""),45541.5201232291)</f>
        <v>45541.5201232291</v>
      </c>
      <c r="B7" s="3" t="str">
        <f ca="1">IFERROR(__xludf.DUMMYFUNCTION("""COMPUTED_VALUE"""),"bbozarth@normanps.org")</f>
        <v>bbozarth@normanps.org</v>
      </c>
      <c r="C7" s="3"/>
      <c r="D7" s="3">
        <f ca="1">IFERROR(__xludf.DUMMYFUNCTION("""COMPUTED_VALUE"""),3)</f>
        <v>3</v>
      </c>
      <c r="E7" s="3"/>
      <c r="F7" s="6"/>
      <c r="G7" s="3"/>
      <c r="H7" s="3"/>
      <c r="I7" s="3" t="str">
        <f ca="1">IFERROR(__xludf.DUMMYFUNCTION("""COMPUTED_VALUE"""),"Curate")</f>
        <v>Curate</v>
      </c>
      <c r="J7" s="3" t="str">
        <f ca="1">IFERROR(__xludf.DUMMYFUNCTION("""COMPUTED_VALUE"""),"Social Studies")</f>
        <v>Social Studies</v>
      </c>
      <c r="K7" s="3" t="str">
        <f ca="1">IFERROR(__xludf.DUMMYFUNCTION("""COMPUTED_VALUE"""),"Seventh")</f>
        <v>Seventh</v>
      </c>
      <c r="L7" s="3"/>
      <c r="M7" s="3">
        <f ca="1">IFERROR(__xludf.DUMMYFUNCTION("""COMPUTED_VALUE"""),3)</f>
        <v>3</v>
      </c>
      <c r="N7" s="3"/>
      <c r="O7" s="3"/>
      <c r="P7" s="3"/>
      <c r="Q7" s="3"/>
      <c r="R7" s="3"/>
      <c r="S7" s="3"/>
      <c r="T7" s="3" t="str">
        <f ca="1">IFERROR(__xludf.DUMMYFUNCTION("""COMPUTED_VALUE"""),"Alcott")</f>
        <v>Alcott</v>
      </c>
      <c r="U7" s="3"/>
      <c r="V7" s="3"/>
      <c r="W7" s="3"/>
      <c r="X7" s="3"/>
      <c r="Y7" s="3"/>
      <c r="Z7" s="3"/>
      <c r="AA7" s="3"/>
      <c r="AB7" s="3"/>
      <c r="AC7" s="3"/>
    </row>
    <row r="8" spans="1:36" ht="15.75" customHeight="1" x14ac:dyDescent="0.15">
      <c r="A8" s="2">
        <f ca="1">IFERROR(__xludf.DUMMYFUNCTION("""COMPUTED_VALUE"""),45541.5207402893)</f>
        <v>45541.520740289299</v>
      </c>
      <c r="B8" s="3" t="str">
        <f ca="1">IFERROR(__xludf.DUMMYFUNCTION("""COMPUTED_VALUE"""),"bbozarth@normanps.org")</f>
        <v>bbozarth@normanps.org</v>
      </c>
      <c r="C8" s="3"/>
      <c r="D8" s="3"/>
      <c r="E8" s="3"/>
      <c r="F8" s="6"/>
      <c r="G8" s="3"/>
      <c r="H8" s="3"/>
      <c r="I8" s="3" t="str">
        <f ca="1">IFERROR(__xludf.DUMMYFUNCTION("""COMPUTED_VALUE"""),"Inquire")</f>
        <v>Inquire</v>
      </c>
      <c r="J8" s="3" t="str">
        <f ca="1">IFERROR(__xludf.DUMMYFUNCTION("""COMPUTED_VALUE"""),"ELA")</f>
        <v>ELA</v>
      </c>
      <c r="K8" s="3" t="str">
        <f ca="1">IFERROR(__xludf.DUMMYFUNCTION("""COMPUTED_VALUE"""),"Sixth")</f>
        <v>Sixth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IFERROR(__xludf.DUMMYFUNCTION("""COMPUTED_VALUE"""),"Alcott")</f>
        <v>Alcott</v>
      </c>
      <c r="U8" s="3"/>
      <c r="V8" s="3"/>
      <c r="W8" s="3"/>
      <c r="X8" s="3"/>
      <c r="Y8" s="3"/>
      <c r="Z8" s="3"/>
      <c r="AA8" s="3"/>
      <c r="AB8" s="3"/>
      <c r="AC8" s="3"/>
    </row>
    <row r="9" spans="1:36" ht="15.75" customHeight="1" x14ac:dyDescent="0.15">
      <c r="A9" s="2">
        <f ca="1">IFERROR(__xludf.DUMMYFUNCTION("""COMPUTED_VALUE"""),45541.520932662)</f>
        <v>45541.520932662002</v>
      </c>
      <c r="B9" s="3" t="str">
        <f ca="1">IFERROR(__xludf.DUMMYFUNCTION("""COMPUTED_VALUE"""),"bbozarth@normanps.org")</f>
        <v>bbozarth@normanps.org</v>
      </c>
      <c r="C9" s="3"/>
      <c r="D9" s="3"/>
      <c r="E9" s="3"/>
      <c r="F9" s="6"/>
      <c r="G9" s="3"/>
      <c r="H9" s="3"/>
      <c r="I9" s="3"/>
      <c r="J9" s="3" t="str">
        <f ca="1">IFERROR(__xludf.DUMMYFUNCTION("""COMPUTED_VALUE"""),"ELA")</f>
        <v>ELA</v>
      </c>
      <c r="K9" s="3" t="str">
        <f ca="1">IFERROR(__xludf.DUMMYFUNCTION("""COMPUTED_VALUE"""),"Eighth")</f>
        <v>Eighth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IFERROR(__xludf.DUMMYFUNCTION("""COMPUTED_VALUE"""),"Alcott")</f>
        <v>Alcott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5.75" customHeight="1" x14ac:dyDescent="0.15">
      <c r="A10" s="2">
        <f ca="1">IFERROR(__xludf.DUMMYFUNCTION("""COMPUTED_VALUE"""),45553.3988060069)</f>
        <v>45553.398806006902</v>
      </c>
      <c r="B10" s="3" t="str">
        <f ca="1">IFERROR(__xludf.DUMMYFUNCTION("""COMPUTED_VALUE"""),"bbozarth@normanps.org")</f>
        <v>bbozarth@normanps.org</v>
      </c>
      <c r="C10" s="3"/>
      <c r="D10" s="3">
        <f ca="1">IFERROR(__xludf.DUMMYFUNCTION("""COMPUTED_VALUE"""),4)</f>
        <v>4</v>
      </c>
      <c r="E10" s="3"/>
      <c r="F10" s="6">
        <f ca="1">IFERROR(__xludf.DUMMYFUNCTION("""COMPUTED_VALUE"""),0)</f>
        <v>0</v>
      </c>
      <c r="G10" s="3">
        <f ca="1">IFERROR(__xludf.DUMMYFUNCTION("""COMPUTED_VALUE"""),9)</f>
        <v>9</v>
      </c>
      <c r="H10" s="3">
        <f ca="1">IFERROR(__xludf.DUMMYFUNCTION("""COMPUTED_VALUE"""),0)</f>
        <v>0</v>
      </c>
      <c r="I10" s="3" t="str">
        <f ca="1">IFERROR(__xludf.DUMMYFUNCTION("""COMPUTED_VALUE"""),"Explore")</f>
        <v>Explore</v>
      </c>
      <c r="J10" s="3" t="str">
        <f ca="1">IFERROR(__xludf.DUMMYFUNCTION("""COMPUTED_VALUE"""),"Social Studies")</f>
        <v>Social Studies</v>
      </c>
      <c r="K10" s="3" t="str">
        <f ca="1">IFERROR(__xludf.DUMMYFUNCTION("""COMPUTED_VALUE"""),"Seventh")</f>
        <v>Seventh</v>
      </c>
      <c r="L10" s="3" t="str">
        <f ca="1">IFERROR(__xludf.DUMMYFUNCTION("""COMPUTED_VALUE"""),"Perler Beads")</f>
        <v>Perler Beads</v>
      </c>
      <c r="M10" s="3"/>
      <c r="N10" s="3"/>
      <c r="O10" s="3"/>
      <c r="P10" s="3" t="str">
        <f ca="1">IFERROR(__xludf.DUMMYFUNCTION("""COMPUTED_VALUE"""),"Pioneer")</f>
        <v>Pioneer</v>
      </c>
      <c r="Q10" s="3" t="str">
        <f ca="1">IFERROR(__xludf.DUMMYFUNCTION("""COMPUTED_VALUE"""),"Sequoyah")</f>
        <v>Sequoyah</v>
      </c>
      <c r="R10" s="3" t="str">
        <f ca="1">IFERROR(__xludf.DUMMYFUNCTION("""COMPUTED_VALUE"""),"Sequoyah Book Club")</f>
        <v>Sequoyah Book Club</v>
      </c>
      <c r="S10" s="3">
        <f ca="1">IFERROR(__xludf.DUMMYFUNCTION("""COMPUTED_VALUE"""),2)</f>
        <v>2</v>
      </c>
      <c r="T10" s="3" t="str">
        <f ca="1">IFERROR(__xludf.DUMMYFUNCTION("""COMPUTED_VALUE"""),"Alcott")</f>
        <v>Alcott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5.75" customHeight="1" x14ac:dyDescent="0.15">
      <c r="A11" s="2">
        <f ca="1">IFERROR(__xludf.DUMMYFUNCTION("""COMPUTED_VALUE"""),45553.3994572916)</f>
        <v>45553.399457291598</v>
      </c>
      <c r="B11" s="3" t="str">
        <f ca="1">IFERROR(__xludf.DUMMYFUNCTION("""COMPUTED_VALUE"""),"bbozarth@normanps.org")</f>
        <v>bbozarth@normanps.org</v>
      </c>
      <c r="C11" s="3"/>
      <c r="D11" s="3">
        <f ca="1">IFERROR(__xludf.DUMMYFUNCTION("""COMPUTED_VALUE"""),0)</f>
        <v>0</v>
      </c>
      <c r="E11" s="3"/>
      <c r="F11" s="6">
        <f ca="1">IFERROR(__xludf.DUMMYFUNCTION("""COMPUTED_VALUE"""),0)</f>
        <v>0</v>
      </c>
      <c r="G11" s="3">
        <f ca="1">IFERROR(__xludf.DUMMYFUNCTION("""COMPUTED_VALUE"""),0)</f>
        <v>0</v>
      </c>
      <c r="H11" s="3">
        <f ca="1">IFERROR(__xludf.DUMMYFUNCTION("""COMPUTED_VALUE"""),0)</f>
        <v>0</v>
      </c>
      <c r="I11" s="3" t="str">
        <f ca="1">IFERROR(__xludf.DUMMYFUNCTION("""COMPUTED_VALUE"""),"Inquire")</f>
        <v>Inquire</v>
      </c>
      <c r="J11" s="3" t="str">
        <f ca="1">IFERROR(__xludf.DUMMYFUNCTION("""COMPUTED_VALUE"""),"Social Studies")</f>
        <v>Social Studies</v>
      </c>
      <c r="K11" s="3" t="str">
        <f ca="1">IFERROR(__xludf.DUMMYFUNCTION("""COMPUTED_VALUE"""),"Sixth")</f>
        <v>Sixth</v>
      </c>
      <c r="L11" s="3"/>
      <c r="M11" s="3">
        <f ca="1">IFERROR(__xludf.DUMMYFUNCTION("""COMPUTED_VALUE"""),0)</f>
        <v>0</v>
      </c>
      <c r="N11" s="3"/>
      <c r="O11" s="3"/>
      <c r="P11" s="3" t="str">
        <f ca="1">IFERROR(__xludf.DUMMYFUNCTION("""COMPUTED_VALUE"""),"Oklahoma Historical Society")</f>
        <v>Oklahoma Historical Society</v>
      </c>
      <c r="Q11" s="3"/>
      <c r="R11" s="3"/>
      <c r="S11" s="3">
        <f ca="1">IFERROR(__xludf.DUMMYFUNCTION("""COMPUTED_VALUE"""),0)</f>
        <v>0</v>
      </c>
      <c r="T11" s="3" t="str">
        <f ca="1">IFERROR(__xludf.DUMMYFUNCTION("""COMPUTED_VALUE"""),"Alcott")</f>
        <v>Alcott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5.75" customHeight="1" x14ac:dyDescent="0.15">
      <c r="A12" s="2">
        <f ca="1">IFERROR(__xludf.DUMMYFUNCTION("""COMPUTED_VALUE"""),45558.4491323263)</f>
        <v>45558.449132326299</v>
      </c>
      <c r="B12" s="3" t="str">
        <f ca="1">IFERROR(__xludf.DUMMYFUNCTION("""COMPUTED_VALUE"""),"bbozarth@normanps.org")</f>
        <v>bbozarth@normanps.org</v>
      </c>
      <c r="C12" s="3"/>
      <c r="D12" s="3"/>
      <c r="E12" s="3"/>
      <c r="F12" s="6"/>
      <c r="G12" s="3"/>
      <c r="H12" s="3"/>
      <c r="I12" s="3"/>
      <c r="J12" s="3"/>
      <c r="K12" s="3"/>
      <c r="L12" s="3"/>
      <c r="M12" s="3">
        <f ca="1">IFERROR(__xludf.DUMMYFUNCTION("""COMPUTED_VALUE"""),8)</f>
        <v>8</v>
      </c>
      <c r="N12" s="3"/>
      <c r="O12" s="3"/>
      <c r="P12" s="3"/>
      <c r="Q12" s="3"/>
      <c r="R12" s="3"/>
      <c r="S12" s="3"/>
      <c r="T12" s="3" t="str">
        <f ca="1">IFERROR(__xludf.DUMMYFUNCTION("""COMPUTED_VALUE"""),"Alcott")</f>
        <v>Alcott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5.75" customHeight="1" x14ac:dyDescent="0.15">
      <c r="A13" s="2">
        <f ca="1">IFERROR(__xludf.DUMMYFUNCTION("""COMPUTED_VALUE"""),45573.4205647916)</f>
        <v>45573.420564791602</v>
      </c>
      <c r="B13" s="3" t="str">
        <f ca="1">IFERROR(__xludf.DUMMYFUNCTION("""COMPUTED_VALUE"""),"sschrank@normanps.org")</f>
        <v>sschrank@normanps.org</v>
      </c>
      <c r="C13" s="3">
        <f ca="1">IFERROR(__xludf.DUMMYFUNCTION("""COMPUTED_VALUE"""),452)</f>
        <v>452</v>
      </c>
      <c r="D13" s="3"/>
      <c r="E13" s="3"/>
      <c r="F13" s="6"/>
      <c r="G13" s="3"/>
      <c r="H13" s="3"/>
      <c r="I13" s="3"/>
      <c r="J13" s="3"/>
      <c r="K13" s="3"/>
      <c r="L13" s="3"/>
      <c r="M13" s="3"/>
      <c r="N13" s="3">
        <f ca="1">IFERROR(__xludf.DUMMYFUNCTION("""COMPUTED_VALUE"""),263)</f>
        <v>263</v>
      </c>
      <c r="O13" s="3"/>
      <c r="P13" s="3"/>
      <c r="Q13" s="3"/>
      <c r="R13" s="3"/>
      <c r="S13" s="3"/>
      <c r="T13" s="3" t="str">
        <f ca="1">IFERROR(__xludf.DUMMYFUNCTION("""COMPUTED_VALUE"""),"Alcott")</f>
        <v>Alcott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5.75" customHeight="1" x14ac:dyDescent="0.15">
      <c r="A14" s="2">
        <f ca="1">IFERROR(__xludf.DUMMYFUNCTION("""COMPUTED_VALUE"""),45597.342153287)</f>
        <v>45597.342153286998</v>
      </c>
      <c r="B14" s="3" t="str">
        <f ca="1">IFERROR(__xludf.DUMMYFUNCTION("""COMPUTED_VALUE"""),"bbozarth@normanps.org")</f>
        <v>bbozarth@normanps.org</v>
      </c>
      <c r="C14" s="3"/>
      <c r="D14" s="3">
        <f ca="1">IFERROR(__xludf.DUMMYFUNCTION("""COMPUTED_VALUE"""),17)</f>
        <v>17</v>
      </c>
      <c r="E14" s="3"/>
      <c r="F14" s="6"/>
      <c r="G14" s="3"/>
      <c r="H14" s="3"/>
      <c r="I14" s="3" t="str">
        <f ca="1">IFERROR(__xludf.DUMMYFUNCTION("""COMPUTED_VALUE"""),"Engage")</f>
        <v>Engage</v>
      </c>
      <c r="J14" s="3" t="str">
        <f ca="1">IFERROR(__xludf.DUMMYFUNCTION("""COMPUTED_VALUE"""),"Social Studies")</f>
        <v>Social Studies</v>
      </c>
      <c r="K14" s="3" t="str">
        <f ca="1">IFERROR(__xludf.DUMMYFUNCTION("""COMPUTED_VALUE"""),"Sixth")</f>
        <v>Sixth</v>
      </c>
      <c r="L14" s="3" t="str">
        <f ca="1">IFERROR(__xludf.DUMMYFUNCTION("""COMPUTED_VALUE"""),"3D Pens")</f>
        <v>3D Pens</v>
      </c>
      <c r="M14" s="3"/>
      <c r="N14" s="3"/>
      <c r="O14" s="3"/>
      <c r="P14" s="3" t="str">
        <f ca="1">IFERROR(__xludf.DUMMYFUNCTION("""COMPUTED_VALUE"""),"5")</f>
        <v>5</v>
      </c>
      <c r="Q14" s="3" t="str">
        <f ca="1">IFERROR(__xludf.DUMMYFUNCTION("""COMPUTED_VALUE"""),"Sequoyah Meeting")</f>
        <v>Sequoyah Meeting</v>
      </c>
      <c r="R14" s="3" t="str">
        <f ca="1">IFERROR(__xludf.DUMMYFUNCTION("""COMPUTED_VALUE"""),"Sequoyah Book Club")</f>
        <v>Sequoyah Book Club</v>
      </c>
      <c r="S14" s="3"/>
      <c r="T14" s="3" t="str">
        <f ca="1">IFERROR(__xludf.DUMMYFUNCTION("""COMPUTED_VALUE"""),"Alcott")</f>
        <v>Alcott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5.75" customHeight="1" x14ac:dyDescent="0.15">
      <c r="A15" s="2">
        <f ca="1">IFERROR(__xludf.DUMMYFUNCTION("""COMPUTED_VALUE"""),45597.3435848032)</f>
        <v>45597.343584803202</v>
      </c>
      <c r="B15" s="3" t="str">
        <f ca="1">IFERROR(__xludf.DUMMYFUNCTION("""COMPUTED_VALUE"""),"bbozarth@normanps.org")</f>
        <v>bbozarth@normanps.org</v>
      </c>
      <c r="C15" s="3"/>
      <c r="D15" s="3"/>
      <c r="E15" s="3"/>
      <c r="F15" s="6"/>
      <c r="G15" s="3"/>
      <c r="H15" s="3"/>
      <c r="I15" s="3" t="str">
        <f ca="1">IFERROR(__xludf.DUMMYFUNCTION("""COMPUTED_VALUE"""),"Inquire")</f>
        <v>Inquire</v>
      </c>
      <c r="J15" s="3" t="str">
        <f ca="1">IFERROR(__xludf.DUMMYFUNCTION("""COMPUTED_VALUE"""),"ELA")</f>
        <v>ELA</v>
      </c>
      <c r="K15" s="3" t="str">
        <f ca="1">IFERROR(__xludf.DUMMYFUNCTION("""COMPUTED_VALUE"""),"Sixth")</f>
        <v>Sixth</v>
      </c>
      <c r="L15" s="3"/>
      <c r="M15" s="3"/>
      <c r="N15" s="3"/>
      <c r="O15" s="3"/>
      <c r="P15" s="3" t="str">
        <f ca="1">IFERROR(__xludf.DUMMYFUNCTION("""COMPUTED_VALUE"""),"Pioneer Library")</f>
        <v>Pioneer Library</v>
      </c>
      <c r="Q15" s="3"/>
      <c r="R15" s="3" t="str">
        <f ca="1">IFERROR(__xludf.DUMMYFUNCTION("""COMPUTED_VALUE"""),"Book Club")</f>
        <v>Book Club</v>
      </c>
      <c r="S15" s="3"/>
      <c r="T15" s="3" t="str">
        <f ca="1">IFERROR(__xludf.DUMMYFUNCTION("""COMPUTED_VALUE"""),"Alcott")</f>
        <v>Alcott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5.75" customHeight="1" x14ac:dyDescent="0.15">
      <c r="A16" s="2">
        <f ca="1">IFERROR(__xludf.DUMMYFUNCTION("""COMPUTED_VALUE"""),45597.3443980092)</f>
        <v>45597.344398009198</v>
      </c>
      <c r="B16" s="3" t="str">
        <f ca="1">IFERROR(__xludf.DUMMYFUNCTION("""COMPUTED_VALUE"""),"bbozarth@normanps.org")</f>
        <v>bbozarth@normanps.org</v>
      </c>
      <c r="C16" s="3"/>
      <c r="D16" s="3"/>
      <c r="E16" s="3"/>
      <c r="F16" s="6"/>
      <c r="G16" s="3"/>
      <c r="H16" s="3"/>
      <c r="I16" s="3" t="str">
        <f ca="1">IFERROR(__xludf.DUMMYFUNCTION("""COMPUTED_VALUE"""),"Explore")</f>
        <v>Explore</v>
      </c>
      <c r="J16" s="3" t="str">
        <f ca="1">IFERROR(__xludf.DUMMYFUNCTION("""COMPUTED_VALUE"""),"ELA")</f>
        <v>ELA</v>
      </c>
      <c r="K16" s="3" t="str">
        <f ca="1">IFERROR(__xludf.DUMMYFUNCTION("""COMPUTED_VALUE"""),"Sixth")</f>
        <v>Sixth</v>
      </c>
      <c r="L16" s="3" t="str">
        <f ca="1">IFERROR(__xludf.DUMMYFUNCTION("""COMPUTED_VALUE"""),"Perler Beads")</f>
        <v>Perler Beads</v>
      </c>
      <c r="M16" s="3"/>
      <c r="N16" s="3"/>
      <c r="O16" s="3"/>
      <c r="P16" s="3"/>
      <c r="Q16" s="3"/>
      <c r="R16" s="3" t="str">
        <f ca="1">IFERROR(__xludf.DUMMYFUNCTION("""COMPUTED_VALUE"""),"Table Top Club")</f>
        <v>Table Top Club</v>
      </c>
      <c r="S16" s="3"/>
      <c r="T16" s="3" t="str">
        <f ca="1">IFERROR(__xludf.DUMMYFUNCTION("""COMPUTED_VALUE"""),"Alcott")</f>
        <v>Alcott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f ca="1">IFERROR(__xludf.DUMMYFUNCTION("""COMPUTED_VALUE"""),45597.3448041319)</f>
        <v>45597.344804131899</v>
      </c>
      <c r="B17" s="3" t="str">
        <f ca="1">IFERROR(__xludf.DUMMYFUNCTION("""COMPUTED_VALUE"""),"bbozarth@normanps.org")</f>
        <v>bbozarth@normanps.org</v>
      </c>
      <c r="C17" s="3"/>
      <c r="D17" s="3"/>
      <c r="E17" s="3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str">
        <f ca="1">IFERROR(__xludf.DUMMYFUNCTION("""COMPUTED_VALUE"""),"Book Club")</f>
        <v>Book Club</v>
      </c>
      <c r="S17" s="3"/>
      <c r="T17" s="3" t="str">
        <f ca="1">IFERROR(__xludf.DUMMYFUNCTION("""COMPUTED_VALUE"""),"Alcott")</f>
        <v>Alcott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f ca="1">IFERROR(__xludf.DUMMYFUNCTION("""COMPUTED_VALUE"""),45644.5430447106)</f>
        <v>45644.543044710597</v>
      </c>
      <c r="B18" s="3" t="str">
        <f ca="1">IFERROR(__xludf.DUMMYFUNCTION("""COMPUTED_VALUE"""),"sschrank@normanps.org")</f>
        <v>sschrank@normanps.org</v>
      </c>
      <c r="C18" s="3">
        <f ca="1">IFERROR(__xludf.DUMMYFUNCTION("""COMPUTED_VALUE"""),596)</f>
        <v>596</v>
      </c>
      <c r="D18" s="3"/>
      <c r="E18" s="3"/>
      <c r="F18" s="6"/>
      <c r="G18" s="3"/>
      <c r="H18" s="3"/>
      <c r="I18" s="3"/>
      <c r="J18" s="3"/>
      <c r="K18" s="3"/>
      <c r="L18" s="3"/>
      <c r="M18" s="3"/>
      <c r="N18" s="3">
        <f ca="1">IFERROR(__xludf.DUMMYFUNCTION("""COMPUTED_VALUE"""),141)</f>
        <v>141</v>
      </c>
      <c r="O18" s="3"/>
      <c r="P18" s="3"/>
      <c r="Q18" s="3"/>
      <c r="R18" s="3"/>
      <c r="S18" s="3"/>
      <c r="T18" s="3" t="str">
        <f ca="1">IFERROR(__xludf.DUMMYFUNCTION("""COMPUTED_VALUE"""),"Alcott")</f>
        <v>Alcott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f ca="1">IFERROR(__xludf.DUMMYFUNCTION("""COMPUTED_VALUE"""),45672.346830868)</f>
        <v>45672.346830868002</v>
      </c>
      <c r="B19" s="3" t="str">
        <f ca="1">IFERROR(__xludf.DUMMYFUNCTION("""COMPUTED_VALUE"""),"sschrank@normanps.org")</f>
        <v>sschrank@normanps.org</v>
      </c>
      <c r="C19" s="3">
        <f ca="1">IFERROR(__xludf.DUMMYFUNCTION("""COMPUTED_VALUE"""),219)</f>
        <v>219</v>
      </c>
      <c r="D19" s="3"/>
      <c r="E19" s="3"/>
      <c r="F19" s="6"/>
      <c r="G19" s="3"/>
      <c r="H19" s="3"/>
      <c r="I19" s="3"/>
      <c r="J19" s="3"/>
      <c r="K19" s="3"/>
      <c r="L19" s="3"/>
      <c r="M19" s="3"/>
      <c r="N19" s="3">
        <f ca="1">IFERROR(__xludf.DUMMYFUNCTION("""COMPUTED_VALUE"""),94)</f>
        <v>94</v>
      </c>
      <c r="O19" s="3"/>
      <c r="P19" s="3"/>
      <c r="Q19" s="3"/>
      <c r="R19" s="3"/>
      <c r="S19" s="3"/>
      <c r="T19" s="3" t="str">
        <f ca="1">IFERROR(__xludf.DUMMYFUNCTION("""COMPUTED_VALUE"""),"Alcott")</f>
        <v>Alcott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f ca="1">IFERROR(__xludf.DUMMYFUNCTION("""COMPUTED_VALUE"""),45693.4853161574)</f>
        <v>45693.485316157399</v>
      </c>
      <c r="B20" s="3" t="str">
        <f ca="1">IFERROR(__xludf.DUMMYFUNCTION("""COMPUTED_VALUE"""),"sschrank@normanps.org")</f>
        <v>sschrank@normanps.org</v>
      </c>
      <c r="C20" s="3">
        <f ca="1">IFERROR(__xludf.DUMMYFUNCTION("""COMPUTED_VALUE"""),292)</f>
        <v>292</v>
      </c>
      <c r="D20" s="3"/>
      <c r="E20" s="3"/>
      <c r="F20" s="6"/>
      <c r="G20" s="3"/>
      <c r="H20" s="3"/>
      <c r="I20" s="3"/>
      <c r="J20" s="3"/>
      <c r="K20" s="3"/>
      <c r="L20" s="3"/>
      <c r="M20" s="3"/>
      <c r="N20" s="3">
        <f ca="1">IFERROR(__xludf.DUMMYFUNCTION("""COMPUTED_VALUE"""),105)</f>
        <v>105</v>
      </c>
      <c r="O20" s="3"/>
      <c r="P20" s="3"/>
      <c r="Q20" s="3"/>
      <c r="R20" s="3"/>
      <c r="S20" s="3"/>
      <c r="T20" s="3" t="str">
        <f ca="1">IFERROR(__xludf.DUMMYFUNCTION("""COMPUTED_VALUE"""),"Alcott")</f>
        <v>Alcott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f ca="1">IFERROR(__xludf.DUMMYFUNCTION("""COMPUTED_VALUE"""),45538.5974305555)</f>
        <v>45538.597430555499</v>
      </c>
      <c r="B21" s="3" t="str">
        <f ca="1">IFERROR(__xludf.DUMMYFUNCTION("""COMPUTED_VALUE"""),"akordelis2@normanps.org")</f>
        <v>akordelis2@normanps.org</v>
      </c>
      <c r="C21" s="3">
        <f ca="1">IFERROR(__xludf.DUMMYFUNCTION("""COMPUTED_VALUE"""),1)</f>
        <v>1</v>
      </c>
      <c r="D21" s="3">
        <f ca="1">IFERROR(__xludf.DUMMYFUNCTION("""COMPUTED_VALUE"""),1)</f>
        <v>1</v>
      </c>
      <c r="E21" s="3">
        <f ca="1">IFERROR(__xludf.DUMMYFUNCTION("""COMPUTED_VALUE"""),1)</f>
        <v>1</v>
      </c>
      <c r="F21" s="6">
        <f ca="1">IFERROR(__xludf.DUMMYFUNCTION("""COMPUTED_VALUE"""),1)</f>
        <v>1</v>
      </c>
      <c r="G21" s="3">
        <f ca="1">IFERROR(__xludf.DUMMYFUNCTION("""COMPUTED_VALUE"""),1)</f>
        <v>1</v>
      </c>
      <c r="H21" s="3">
        <f ca="1">IFERROR(__xludf.DUMMYFUNCTION("""COMPUTED_VALUE"""),1)</f>
        <v>1</v>
      </c>
      <c r="I21" s="3" t="str">
        <f ca="1">IFERROR(__xludf.DUMMYFUNCTION("""COMPUTED_VALUE"""),"Inquire")</f>
        <v>Inquire</v>
      </c>
      <c r="J21" s="3" t="str">
        <f ca="1">IFERROR(__xludf.DUMMYFUNCTION("""COMPUTED_VALUE"""),"ELA")</f>
        <v>ELA</v>
      </c>
      <c r="K21" s="3" t="str">
        <f ca="1">IFERROR(__xludf.DUMMYFUNCTION("""COMPUTED_VALUE"""),"Prek")</f>
        <v>Prek</v>
      </c>
      <c r="L21" s="3" t="str">
        <f ca="1">IFERROR(__xludf.DUMMYFUNCTION("""COMPUTED_VALUE"""),"Air Dry Clay")</f>
        <v>Air Dry Clay</v>
      </c>
      <c r="M21" s="3">
        <f ca="1">IFERROR(__xludf.DUMMYFUNCTION("""COMPUTED_VALUE"""),1)</f>
        <v>1</v>
      </c>
      <c r="N21" s="3">
        <f ca="1">IFERROR(__xludf.DUMMYFUNCTION("""COMPUTED_VALUE"""),1)</f>
        <v>1</v>
      </c>
      <c r="O21" s="3">
        <f ca="1">IFERROR(__xludf.DUMMYFUNCTION("""COMPUTED_VALUE"""),1)</f>
        <v>1</v>
      </c>
      <c r="P21" s="3" t="str">
        <f ca="1">IFERROR(__xludf.DUMMYFUNCTION("""COMPUTED_VALUE"""),"Pioneer")</f>
        <v>Pioneer</v>
      </c>
      <c r="Q21" s="3" t="str">
        <f ca="1">IFERROR(__xludf.DUMMYFUNCTION("""COMPUTED_VALUE"""),"OLA")</f>
        <v>OLA</v>
      </c>
      <c r="R21" s="3" t="str">
        <f ca="1">IFERROR(__xludf.DUMMYFUNCTION("""COMPUTED_VALUE"""),"Literacy Night")</f>
        <v>Literacy Night</v>
      </c>
      <c r="S21" s="3">
        <f ca="1">IFERROR(__xludf.DUMMYFUNCTION("""COMPUTED_VALUE"""),1)</f>
        <v>1</v>
      </c>
      <c r="T21" s="3" t="str">
        <f ca="1">IFERROR(__xludf.DUMMYFUNCTION("""COMPUTED_VALUE"""),"Alcott")</f>
        <v>Alcott</v>
      </c>
      <c r="U21" s="3"/>
      <c r="V21" s="3"/>
      <c r="W21" s="3"/>
      <c r="X21" s="3"/>
      <c r="Y21" s="3"/>
      <c r="Z21" s="3"/>
      <c r="AA21" s="3"/>
      <c r="AB21" s="3"/>
      <c r="AC2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J4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58.5" customHeight="1" x14ac:dyDescent="0.15">
      <c r="A1" s="1" t="str">
        <f ca="1">IFERROR(__xludf.DUMMYFUNCTION("QUERY('District Data'!A:AC, ""SELECT * WHERE T = 'Irving'"",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IFERROR(__xludf.DUMMYFUNCTION("""COMPUTED_VALUE"""),45538.412042824)</f>
        <v>45538.412042823998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IFERROR(__xludf.DUMMYFUNCTION("""COMPUTED_VALUE"""),853)</f>
        <v>853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IFERROR(__xludf.DUMMYFUNCTION("""COMPUTED_VALUE"""),81)</f>
        <v>81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IFERROR(__xludf.DUMMYFUNCTION("""COMPUTED_VALUE"""),"Irving")</f>
        <v>Irving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IFERROR(__xludf.DUMMYFUNCTION("""COMPUTED_VALUE"""),45541.5721418402)</f>
        <v>45541.572141840203</v>
      </c>
      <c r="B3" s="3" t="str">
        <f ca="1">IFERROR(__xludf.DUMMYFUNCTION("""COMPUTED_VALUE"""),"mtahmahkera2@normanps.org")</f>
        <v>mtahmahkera2@normanps.org</v>
      </c>
      <c r="C3" s="3"/>
      <c r="D3" s="3">
        <f ca="1">IFERROR(__xludf.DUMMYFUNCTION("""COMPUTED_VALUE"""),13)</f>
        <v>13</v>
      </c>
      <c r="E3" s="3"/>
      <c r="F3" s="6"/>
      <c r="G3" s="3">
        <f ca="1">IFERROR(__xludf.DUMMYFUNCTION("""COMPUTED_VALUE"""),2)</f>
        <v>2</v>
      </c>
      <c r="H3" s="3"/>
      <c r="I3" s="3"/>
      <c r="J3" s="3" t="str">
        <f ca="1">IFERROR(__xludf.DUMMYFUNCTION("""COMPUTED_VALUE"""),"ELA")</f>
        <v>ELA</v>
      </c>
      <c r="K3" s="3" t="str">
        <f ca="1">IFERROR(__xludf.DUMMYFUNCTION("""COMPUTED_VALUE"""),"Sixth")</f>
        <v>Sixth</v>
      </c>
      <c r="L3" s="3" t="str">
        <f ca="1">IFERROR(__xludf.DUMMYFUNCTION("""COMPUTED_VALUE"""),"Perler Beads")</f>
        <v>Perler Beads</v>
      </c>
      <c r="M3" s="3"/>
      <c r="N3" s="3"/>
      <c r="O3" s="3"/>
      <c r="P3" s="3"/>
      <c r="Q3" s="3" t="str">
        <f ca="1">IFERROR(__xludf.DUMMYFUNCTION("""COMPUTED_VALUE"""),"Irving Leadership Committee")</f>
        <v>Irving Leadership Committee</v>
      </c>
      <c r="R3" s="3"/>
      <c r="S3" s="3"/>
      <c r="T3" s="3" t="str">
        <f ca="1">IFERROR(__xludf.DUMMYFUNCTION("""COMPUTED_VALUE"""),"Irving")</f>
        <v>Irving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IFERROR(__xludf.DUMMYFUNCTION("""COMPUTED_VALUE"""),45541.574674074)</f>
        <v>45541.574674074</v>
      </c>
      <c r="B4" s="3" t="str">
        <f ca="1">IFERROR(__xludf.DUMMYFUNCTION("""COMPUTED_VALUE"""),"mtahmahkera2@normanps.org")</f>
        <v>mtahmahkera2@normanps.org</v>
      </c>
      <c r="C4" s="3"/>
      <c r="D4" s="3">
        <f ca="1">IFERROR(__xludf.DUMMYFUNCTION("""COMPUTED_VALUE"""),3)</f>
        <v>3</v>
      </c>
      <c r="E4" s="3"/>
      <c r="F4" s="6"/>
      <c r="G4" s="3"/>
      <c r="H4" s="3"/>
      <c r="I4" s="3" t="str">
        <f ca="1">IFERROR(__xludf.DUMMYFUNCTION("""COMPUTED_VALUE"""),"Inquire")</f>
        <v>Inquire</v>
      </c>
      <c r="J4" s="3" t="str">
        <f ca="1">IFERROR(__xludf.DUMMYFUNCTION("""COMPUTED_VALUE"""),"ELA")</f>
        <v>ELA</v>
      </c>
      <c r="K4" s="3" t="str">
        <f ca="1">IFERROR(__xludf.DUMMYFUNCTION("""COMPUTED_VALUE"""),"Sixth")</f>
        <v>Sixth</v>
      </c>
      <c r="L4" s="3"/>
      <c r="M4" s="3"/>
      <c r="N4" s="3"/>
      <c r="O4" s="3"/>
      <c r="P4" s="3"/>
      <c r="Q4" s="3"/>
      <c r="R4" s="3"/>
      <c r="S4" s="3"/>
      <c r="T4" s="3" t="str">
        <f ca="1">IFERROR(__xludf.DUMMYFUNCTION("""COMPUTED_VALUE"""),"Irving")</f>
        <v>Irving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IFERROR(__xludf.DUMMYFUNCTION("""COMPUTED_VALUE"""),45546.6396449768)</f>
        <v>45546.6396449768</v>
      </c>
      <c r="B5" s="3" t="str">
        <f ca="1">IFERROR(__xludf.DUMMYFUNCTION("""COMPUTED_VALUE"""),"mtahmahkera2@normanps.org")</f>
        <v>mtahmahkera2@normanps.org</v>
      </c>
      <c r="C5" s="3"/>
      <c r="D5" s="3">
        <f ca="1">IFERROR(__xludf.DUMMYFUNCTION("""COMPUTED_VALUE"""),7)</f>
        <v>7</v>
      </c>
      <c r="E5" s="3"/>
      <c r="F5" s="6"/>
      <c r="G5" s="3"/>
      <c r="H5" s="3"/>
      <c r="I5" s="3"/>
      <c r="J5" s="3" t="str">
        <f ca="1">IFERROR(__xludf.DUMMYFUNCTION("""COMPUTED_VALUE"""),"ELA")</f>
        <v>ELA</v>
      </c>
      <c r="K5" s="3" t="str">
        <f ca="1">IFERROR(__xludf.DUMMYFUNCTION("""COMPUTED_VALUE"""),"Seventh")</f>
        <v>Seventh</v>
      </c>
      <c r="L5" s="3" t="str">
        <f ca="1">IFERROR(__xludf.DUMMYFUNCTION("""COMPUTED_VALUE"""),"Perler Beads")</f>
        <v>Perler Beads</v>
      </c>
      <c r="M5" s="3"/>
      <c r="N5" s="3"/>
      <c r="O5" s="3"/>
      <c r="P5" s="3"/>
      <c r="Q5" s="3"/>
      <c r="R5" s="3"/>
      <c r="S5" s="3"/>
      <c r="T5" s="3" t="str">
        <f ca="1">IFERROR(__xludf.DUMMYFUNCTION("""COMPUTED_VALUE"""),"Irving")</f>
        <v>Irving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IFERROR(__xludf.DUMMYFUNCTION("""COMPUTED_VALUE"""),45546.6405624884)</f>
        <v>45546.640562488399</v>
      </c>
      <c r="B6" s="3" t="str">
        <f ca="1">IFERROR(__xludf.DUMMYFUNCTION("""COMPUTED_VALUE"""),"mtahmahkera2@normanps.org")</f>
        <v>mtahmahkera2@normanps.org</v>
      </c>
      <c r="C6" s="3"/>
      <c r="D6" s="3">
        <f ca="1">IFERROR(__xludf.DUMMYFUNCTION("""COMPUTED_VALUE"""),11)</f>
        <v>11</v>
      </c>
      <c r="E6" s="3"/>
      <c r="F6" s="6"/>
      <c r="G6" s="3"/>
      <c r="H6" s="3"/>
      <c r="I6" s="3"/>
      <c r="J6" s="3" t="str">
        <f ca="1">IFERROR(__xludf.DUMMYFUNCTION("""COMPUTED_VALUE"""),"ELA")</f>
        <v>ELA</v>
      </c>
      <c r="K6" s="3" t="str">
        <f ca="1">IFERROR(__xludf.DUMMYFUNCTION("""COMPUTED_VALUE"""),"Eighth")</f>
        <v>Eighth</v>
      </c>
      <c r="L6" s="3"/>
      <c r="M6" s="3"/>
      <c r="N6" s="3"/>
      <c r="O6" s="3"/>
      <c r="P6" s="3"/>
      <c r="Q6" s="3"/>
      <c r="R6" s="3"/>
      <c r="S6" s="3"/>
      <c r="T6" s="3" t="str">
        <f ca="1">IFERROR(__xludf.DUMMYFUNCTION("""COMPUTED_VALUE"""),"Irving")</f>
        <v>Irving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IFERROR(__xludf.DUMMYFUNCTION("""COMPUTED_VALUE"""),45546.6488934027)</f>
        <v>45546.6488934027</v>
      </c>
      <c r="B7" s="3" t="str">
        <f ca="1">IFERROR(__xludf.DUMMYFUNCTION("""COMPUTED_VALUE"""),"mtahmahkera2@normanps.org")</f>
        <v>mtahmahkera2@normanps.org</v>
      </c>
      <c r="C7" s="3"/>
      <c r="D7" s="3">
        <f ca="1">IFERROR(__xludf.DUMMYFUNCTION("""COMPUTED_VALUE"""),1)</f>
        <v>1</v>
      </c>
      <c r="E7" s="3"/>
      <c r="F7" s="6"/>
      <c r="G7" s="3">
        <f ca="1">IFERROR(__xludf.DUMMYFUNCTION("""COMPUTED_VALUE"""),2)</f>
        <v>2</v>
      </c>
      <c r="H7" s="3"/>
      <c r="I7" s="3" t="str">
        <f ca="1">IFERROR(__xludf.DUMMYFUNCTION("""COMPUTED_VALUE"""),"Include")</f>
        <v>Include</v>
      </c>
      <c r="J7" s="3"/>
      <c r="K7" s="3" t="str">
        <f ca="1">IFERROR(__xludf.DUMMYFUNCTION("""COMPUTED_VALUE"""),"Autism/SPED multi-level middle school")</f>
        <v>Autism/SPED multi-level middle school</v>
      </c>
      <c r="L7" s="3" t="str">
        <f ca="1">IFERROR(__xludf.DUMMYFUNCTION("""COMPUTED_VALUE"""),"Perler Beads")</f>
        <v>Perler Beads</v>
      </c>
      <c r="M7" s="3"/>
      <c r="N7" s="3"/>
      <c r="O7" s="3"/>
      <c r="P7" s="3"/>
      <c r="Q7" s="3"/>
      <c r="R7" s="3"/>
      <c r="S7" s="3"/>
      <c r="T7" s="3" t="str">
        <f ca="1">IFERROR(__xludf.DUMMYFUNCTION("""COMPUTED_VALUE"""),"Irving")</f>
        <v>Irving</v>
      </c>
      <c r="U7" s="3"/>
      <c r="V7" s="3"/>
      <c r="W7" s="3"/>
      <c r="X7" s="3"/>
      <c r="Y7" s="3"/>
      <c r="Z7" s="3"/>
      <c r="AA7" s="3"/>
      <c r="AB7" s="3"/>
      <c r="AC7" s="3"/>
    </row>
    <row r="8" spans="1:36" ht="13" x14ac:dyDescent="0.15">
      <c r="A8" s="2">
        <f ca="1">IFERROR(__xludf.DUMMYFUNCTION("""COMPUTED_VALUE"""),45546.6533153819)</f>
        <v>45546.653315381896</v>
      </c>
      <c r="B8" s="3" t="str">
        <f ca="1">IFERROR(__xludf.DUMMYFUNCTION("""COMPUTED_VALUE"""),"mtahmahkera2@normanps.org")</f>
        <v>mtahmahkera2@normanps.org</v>
      </c>
      <c r="C8" s="3"/>
      <c r="D8" s="3">
        <f ca="1">IFERROR(__xludf.DUMMYFUNCTION("""COMPUTED_VALUE"""),1)</f>
        <v>1</v>
      </c>
      <c r="E8" s="3"/>
      <c r="F8" s="6"/>
      <c r="G8" s="3">
        <f ca="1">IFERROR(__xludf.DUMMYFUNCTION("""COMPUTED_VALUE"""),15)</f>
        <v>15</v>
      </c>
      <c r="H8" s="3"/>
      <c r="I8" s="3" t="str">
        <f ca="1">IFERROR(__xludf.DUMMYFUNCTION("""COMPUTED_VALUE"""),"Curate")</f>
        <v>Curate</v>
      </c>
      <c r="J8" s="3"/>
      <c r="K8" s="3" t="str">
        <f ca="1">IFERROR(__xludf.DUMMYFUNCTION("""COMPUTED_VALUE"""),"Eighth")</f>
        <v>Eighth</v>
      </c>
      <c r="L8" s="3" t="str">
        <f ca="1">IFERROR(__xludf.DUMMYFUNCTION("""COMPUTED_VALUE"""),"Perler Beads")</f>
        <v>Perler Beads</v>
      </c>
      <c r="M8" s="3"/>
      <c r="N8" s="3"/>
      <c r="O8" s="3"/>
      <c r="P8" s="3"/>
      <c r="Q8" s="3"/>
      <c r="R8" s="3"/>
      <c r="S8" s="3"/>
      <c r="T8" s="3" t="str">
        <f ca="1">IFERROR(__xludf.DUMMYFUNCTION("""COMPUTED_VALUE"""),"Irving")</f>
        <v>Irving</v>
      </c>
      <c r="U8" s="3"/>
      <c r="V8" s="3"/>
      <c r="W8" s="3"/>
      <c r="X8" s="3"/>
      <c r="Y8" s="3"/>
      <c r="Z8" s="3"/>
      <c r="AA8" s="3"/>
      <c r="AB8" s="3"/>
      <c r="AC8" s="3"/>
    </row>
    <row r="9" spans="1:36" ht="13" x14ac:dyDescent="0.15">
      <c r="A9" s="2">
        <f ca="1">IFERROR(__xludf.DUMMYFUNCTION("""COMPUTED_VALUE"""),45551.5181872453)</f>
        <v>45551.518187245303</v>
      </c>
      <c r="B9" s="3" t="str">
        <f ca="1">IFERROR(__xludf.DUMMYFUNCTION("""COMPUTED_VALUE"""),"mtahmahkera2@normanps.org")</f>
        <v>mtahmahkera2@normanps.org</v>
      </c>
      <c r="C9" s="3"/>
      <c r="D9" s="3">
        <f ca="1">IFERROR(__xludf.DUMMYFUNCTION("""COMPUTED_VALUE"""),1)</f>
        <v>1</v>
      </c>
      <c r="E9" s="3"/>
      <c r="F9" s="6"/>
      <c r="G9" s="3"/>
      <c r="H9" s="3"/>
      <c r="I9" s="3" t="str">
        <f ca="1">IFERROR(__xludf.DUMMYFUNCTION("""COMPUTED_VALUE"""),"Engage")</f>
        <v>Engage</v>
      </c>
      <c r="J9" s="3"/>
      <c r="K9" s="3" t="str">
        <f ca="1">IFERROR(__xludf.DUMMYFUNCTION("""COMPUTED_VALUE"""),"Eighth")</f>
        <v>Eighth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IFERROR(__xludf.DUMMYFUNCTION("""COMPUTED_VALUE"""),"Irving")</f>
        <v>Irving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3" x14ac:dyDescent="0.15">
      <c r="A10" s="2">
        <f ca="1">IFERROR(__xludf.DUMMYFUNCTION("""COMPUTED_VALUE"""),45551.5200216435)</f>
        <v>45551.520021643497</v>
      </c>
      <c r="B10" s="3" t="str">
        <f ca="1">IFERROR(__xludf.DUMMYFUNCTION("""COMPUTED_VALUE"""),"mtahmahkera2@normanps.org")</f>
        <v>mtahmahkera2@normanps.org</v>
      </c>
      <c r="C10" s="3"/>
      <c r="D10" s="3">
        <f ca="1">IFERROR(__xludf.DUMMYFUNCTION("""COMPUTED_VALUE"""),4)</f>
        <v>4</v>
      </c>
      <c r="E10" s="3"/>
      <c r="F10" s="6"/>
      <c r="G10" s="3"/>
      <c r="H10" s="3"/>
      <c r="I10" s="3" t="str">
        <f ca="1">IFERROR(__xludf.DUMMYFUNCTION("""COMPUTED_VALUE"""),"Explore")</f>
        <v>Explore</v>
      </c>
      <c r="J10" s="3" t="str">
        <f ca="1">IFERROR(__xludf.DUMMYFUNCTION("""COMPUTED_VALUE"""),"Social Studies")</f>
        <v>Social Studies</v>
      </c>
      <c r="K10" s="3" t="str">
        <f ca="1">IFERROR(__xludf.DUMMYFUNCTION("""COMPUTED_VALUE"""),"Seventh")</f>
        <v>Seventh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IFERROR(__xludf.DUMMYFUNCTION("""COMPUTED_VALUE"""),"Irving")</f>
        <v>Irving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3" x14ac:dyDescent="0.15">
      <c r="A11" s="2">
        <f ca="1">IFERROR(__xludf.DUMMYFUNCTION("""COMPUTED_VALUE"""),45551.5232470601)</f>
        <v>45551.523247060097</v>
      </c>
      <c r="B11" s="3" t="str">
        <f ca="1">IFERROR(__xludf.DUMMYFUNCTION("""COMPUTED_VALUE"""),"mtahmahkera2@normanps.org")</f>
        <v>mtahmahkera2@normanps.org</v>
      </c>
      <c r="C11" s="3"/>
      <c r="D11" s="3">
        <f ca="1">IFERROR(__xludf.DUMMYFUNCTION("""COMPUTED_VALUE"""),8)</f>
        <v>8</v>
      </c>
      <c r="E11" s="3"/>
      <c r="F11" s="6"/>
      <c r="G11" s="3"/>
      <c r="H11" s="3"/>
      <c r="I11" s="3" t="str">
        <f ca="1">IFERROR(__xludf.DUMMYFUNCTION("""COMPUTED_VALUE"""),"Explore")</f>
        <v>Explore</v>
      </c>
      <c r="J11" s="3" t="str">
        <f ca="1">IFERROR(__xludf.DUMMYFUNCTION("""COMPUTED_VALUE"""),"Social Studies")</f>
        <v>Social Studies</v>
      </c>
      <c r="K11" s="3" t="str">
        <f ca="1">IFERROR(__xludf.DUMMYFUNCTION("""COMPUTED_VALUE"""),"Sixth")</f>
        <v>Sixth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IFERROR(__xludf.DUMMYFUNCTION("""COMPUTED_VALUE"""),"Irving")</f>
        <v>Irving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3" x14ac:dyDescent="0.15">
      <c r="A12" s="2">
        <f ca="1">IFERROR(__xludf.DUMMYFUNCTION("""COMPUTED_VALUE"""),45551.5375327777)</f>
        <v>45551.5375327777</v>
      </c>
      <c r="B12" s="3" t="str">
        <f ca="1">IFERROR(__xludf.DUMMYFUNCTION("""COMPUTED_VALUE"""),"mtahmahkera2@normanps.org")</f>
        <v>mtahmahkera2@normanps.org</v>
      </c>
      <c r="C12" s="3"/>
      <c r="D12" s="3"/>
      <c r="E12" s="3"/>
      <c r="F12" s="6"/>
      <c r="G12" s="3">
        <f ca="1">IFERROR(__xludf.DUMMYFUNCTION("""COMPUTED_VALUE"""),11)</f>
        <v>11</v>
      </c>
      <c r="H12" s="3"/>
      <c r="I12" s="3"/>
      <c r="J12" s="3"/>
      <c r="K12" s="3"/>
      <c r="L12" s="3" t="str">
        <f ca="1">IFERROR(__xludf.DUMMYFUNCTION("""COMPUTED_VALUE"""),"3-D printer, perler beads")</f>
        <v>3-D printer, perler beads</v>
      </c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IFERROR(__xludf.DUMMYFUNCTION("""COMPUTED_VALUE"""),"Irving")</f>
        <v>Irving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3" x14ac:dyDescent="0.15">
      <c r="A13" s="2">
        <f ca="1">IFERROR(__xludf.DUMMYFUNCTION("""COMPUTED_VALUE"""),45559.4502141666)</f>
        <v>45559.450214166602</v>
      </c>
      <c r="B13" s="3" t="str">
        <f ca="1">IFERROR(__xludf.DUMMYFUNCTION("""COMPUTED_VALUE"""),"mtahmahkera2@normanps.org")</f>
        <v>mtahmahkera2@normanps.org</v>
      </c>
      <c r="C13" s="3"/>
      <c r="D13" s="3">
        <f ca="1">IFERROR(__xludf.DUMMYFUNCTION("""COMPUTED_VALUE"""),4)</f>
        <v>4</v>
      </c>
      <c r="E13" s="3"/>
      <c r="F13" s="6"/>
      <c r="G13" s="3"/>
      <c r="H13" s="3"/>
      <c r="I13" s="3" t="str">
        <f ca="1">IFERROR(__xludf.DUMMYFUNCTION("""COMPUTED_VALUE"""),"Explore")</f>
        <v>Explore</v>
      </c>
      <c r="J13" s="3" t="str">
        <f ca="1">IFERROR(__xludf.DUMMYFUNCTION("""COMPUTED_VALUE"""),"Social Studies")</f>
        <v>Social Studies</v>
      </c>
      <c r="K13" s="3" t="str">
        <f ca="1">IFERROR(__xludf.DUMMYFUNCTION("""COMPUTED_VALUE"""),"Seventh")</f>
        <v>Seventh</v>
      </c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IFERROR(__xludf.DUMMYFUNCTION("""COMPUTED_VALUE"""),"Irving")</f>
        <v>Irving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3" x14ac:dyDescent="0.15">
      <c r="A14" s="2">
        <f ca="1">IFERROR(__xludf.DUMMYFUNCTION("""COMPUTED_VALUE"""),45559.4511970833)</f>
        <v>45559.451197083297</v>
      </c>
      <c r="B14" s="3" t="str">
        <f ca="1">IFERROR(__xludf.DUMMYFUNCTION("""COMPUTED_VALUE"""),"mtahmahkera2@normanps.org")</f>
        <v>mtahmahkera2@normanps.org</v>
      </c>
      <c r="C14" s="3"/>
      <c r="D14" s="3"/>
      <c r="E14" s="3"/>
      <c r="F14" s="6"/>
      <c r="G14" s="3">
        <f ca="1">IFERROR(__xludf.DUMMYFUNCTION("""COMPUTED_VALUE"""),5)</f>
        <v>5</v>
      </c>
      <c r="H14" s="3"/>
      <c r="I14" s="3"/>
      <c r="J14" s="3"/>
      <c r="K14" s="3"/>
      <c r="L14" s="3" t="str">
        <f ca="1">IFERROR(__xludf.DUMMYFUNCTION("""COMPUTED_VALUE"""),"Perler Beads")</f>
        <v>Perler Beads</v>
      </c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IFERROR(__xludf.DUMMYFUNCTION("""COMPUTED_VALUE"""),"Irving")</f>
        <v>Irving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3" x14ac:dyDescent="0.15">
      <c r="A15" s="2">
        <f ca="1">IFERROR(__xludf.DUMMYFUNCTION("""COMPUTED_VALUE"""),45559.4524217476)</f>
        <v>45559.452421747599</v>
      </c>
      <c r="B15" s="3" t="str">
        <f ca="1">IFERROR(__xludf.DUMMYFUNCTION("""COMPUTED_VALUE"""),"mtahmahkera2@normanps.org")</f>
        <v>mtahmahkera2@normanps.org</v>
      </c>
      <c r="C15" s="3"/>
      <c r="D15" s="3"/>
      <c r="E15" s="3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tr">
        <f ca="1">IFERROR(__xludf.DUMMYFUNCTION("""COMPUTED_VALUE"""),"EL Night")</f>
        <v>EL Night</v>
      </c>
      <c r="S15" s="3"/>
      <c r="T15" s="3" t="str">
        <f ca="1">IFERROR(__xludf.DUMMYFUNCTION("""COMPUTED_VALUE"""),"Irving")</f>
        <v>Irving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3" x14ac:dyDescent="0.15">
      <c r="A16" s="2">
        <f ca="1">IFERROR(__xludf.DUMMYFUNCTION("""COMPUTED_VALUE"""),45567.6067136921)</f>
        <v>45567.606713692097</v>
      </c>
      <c r="B16" s="3" t="str">
        <f ca="1">IFERROR(__xludf.DUMMYFUNCTION("""COMPUTED_VALUE"""),"mtahmahkera2@normanps.org")</f>
        <v>mtahmahkera2@normanps.org</v>
      </c>
      <c r="C16" s="3"/>
      <c r="D16" s="3"/>
      <c r="E16" s="3"/>
      <c r="F16" s="6"/>
      <c r="G16" s="3"/>
      <c r="H16" s="3"/>
      <c r="I16" s="3"/>
      <c r="J16" s="3"/>
      <c r="K16" s="3"/>
      <c r="L16" s="3" t="str">
        <f ca="1">IFERROR(__xludf.DUMMYFUNCTION("""COMPUTED_VALUE"""),"3D Printer")</f>
        <v>3D Printer</v>
      </c>
      <c r="M16" s="3">
        <f ca="1">IFERROR(__xludf.DUMMYFUNCTION("""COMPUTED_VALUE"""),1)</f>
        <v>1</v>
      </c>
      <c r="N16" s="3"/>
      <c r="O16" s="3"/>
      <c r="P16" s="3"/>
      <c r="Q16" s="3" t="str">
        <f ca="1">IFERROR(__xludf.DUMMYFUNCTION("""COMPUTED_VALUE"""),"Leadership Committee")</f>
        <v>Leadership Committee</v>
      </c>
      <c r="R16" s="3"/>
      <c r="S16" s="3">
        <f ca="1">IFERROR(__xludf.DUMMYFUNCTION("""COMPUTED_VALUE"""),2)</f>
        <v>2</v>
      </c>
      <c r="T16" s="3" t="str">
        <f ca="1">IFERROR(__xludf.DUMMYFUNCTION("""COMPUTED_VALUE"""),"Irving")</f>
        <v>Irving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3" x14ac:dyDescent="0.15">
      <c r="A17" s="2">
        <f ca="1">IFERROR(__xludf.DUMMYFUNCTION("""COMPUTED_VALUE"""),45567.6076926504)</f>
        <v>45567.607692650403</v>
      </c>
      <c r="B17" s="3" t="str">
        <f ca="1">IFERROR(__xludf.DUMMYFUNCTION("""COMPUTED_VALUE"""),"mtahmahkera2@normanps.org")</f>
        <v>mtahmahkera2@normanps.org</v>
      </c>
      <c r="C17" s="3"/>
      <c r="D17" s="3">
        <f ca="1">IFERROR(__xludf.DUMMYFUNCTION("""COMPUTED_VALUE"""),1)</f>
        <v>1</v>
      </c>
      <c r="E17" s="3"/>
      <c r="F17" s="6"/>
      <c r="G17" s="3"/>
      <c r="H17" s="3"/>
      <c r="I17" s="3" t="str">
        <f ca="1">IFERROR(__xludf.DUMMYFUNCTION("""COMPUTED_VALUE"""),"Collaborate")</f>
        <v>Collaborate</v>
      </c>
      <c r="J17" s="3"/>
      <c r="K17" s="3" t="str">
        <f ca="1">IFERROR(__xludf.DUMMYFUNCTION("""COMPUTED_VALUE"""),"MS multi-grade class")</f>
        <v>MS multi-grade class</v>
      </c>
      <c r="L17" s="3"/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IFERROR(__xludf.DUMMYFUNCTION("""COMPUTED_VALUE"""),"Irving")</f>
        <v>Irving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3" x14ac:dyDescent="0.15">
      <c r="A18" s="2">
        <f ca="1">IFERROR(__xludf.DUMMYFUNCTION("""COMPUTED_VALUE"""),45567.6084604398)</f>
        <v>45567.608460439798</v>
      </c>
      <c r="B18" s="3" t="str">
        <f ca="1">IFERROR(__xludf.DUMMYFUNCTION("""COMPUTED_VALUE"""),"mtahmahkera2@normanps.org")</f>
        <v>mtahmahkera2@normanps.org</v>
      </c>
      <c r="C18" s="3"/>
      <c r="D18" s="3"/>
      <c r="E18" s="3"/>
      <c r="F18" s="6"/>
      <c r="G18" s="3">
        <f ca="1">IFERROR(__xludf.DUMMYFUNCTION("""COMPUTED_VALUE"""),7)</f>
        <v>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IFERROR(__xludf.DUMMYFUNCTION("""COMPUTED_VALUE"""),"Irving")</f>
        <v>Irving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3" x14ac:dyDescent="0.15">
      <c r="A19" s="2">
        <f ca="1">IFERROR(__xludf.DUMMYFUNCTION("""COMPUTED_VALUE"""),45573.4079184837)</f>
        <v>45573.407918483703</v>
      </c>
      <c r="B19" s="3" t="str">
        <f ca="1">IFERROR(__xludf.DUMMYFUNCTION("""COMPUTED_VALUE"""),"mtahmahkera2@normanps.org")</f>
        <v>mtahmahkera2@normanps.org</v>
      </c>
      <c r="C19" s="3"/>
      <c r="D19" s="3"/>
      <c r="E19" s="3"/>
      <c r="F19" s="6"/>
      <c r="G19" s="3"/>
      <c r="H19" s="3">
        <f ca="1">IFERROR(__xludf.DUMMYFUNCTION("""COMPUTED_VALUE"""),2)</f>
        <v>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IFERROR(__xludf.DUMMYFUNCTION("""COMPUTED_VALUE"""),"Irving")</f>
        <v>Irving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3" x14ac:dyDescent="0.15">
      <c r="A20" s="2">
        <f ca="1">IFERROR(__xludf.DUMMYFUNCTION("""COMPUTED_VALUE"""),45573.4209042129)</f>
        <v>45573.4209042129</v>
      </c>
      <c r="B20" s="3" t="str">
        <f ca="1">IFERROR(__xludf.DUMMYFUNCTION("""COMPUTED_VALUE"""),"sschrank@normanps.org")</f>
        <v>sschrank@normanps.org</v>
      </c>
      <c r="C20" s="3">
        <f ca="1">IFERROR(__xludf.DUMMYFUNCTION("""COMPUTED_VALUE"""),518)</f>
        <v>518</v>
      </c>
      <c r="D20" s="3"/>
      <c r="E20" s="3"/>
      <c r="F20" s="6"/>
      <c r="G20" s="3"/>
      <c r="H20" s="3"/>
      <c r="I20" s="3"/>
      <c r="J20" s="3"/>
      <c r="K20" s="3"/>
      <c r="L20" s="3"/>
      <c r="M20" s="3"/>
      <c r="N20" s="3">
        <f ca="1">IFERROR(__xludf.DUMMYFUNCTION("""COMPUTED_VALUE"""),192)</f>
        <v>192</v>
      </c>
      <c r="O20" s="3"/>
      <c r="P20" s="3"/>
      <c r="Q20" s="3"/>
      <c r="R20" s="3"/>
      <c r="S20" s="3"/>
      <c r="T20" s="3" t="str">
        <f ca="1">IFERROR(__xludf.DUMMYFUNCTION("""COMPUTED_VALUE"""),"Irving")</f>
        <v>Irving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3" x14ac:dyDescent="0.15">
      <c r="A21" s="2">
        <f ca="1">IFERROR(__xludf.DUMMYFUNCTION("""COMPUTED_VALUE"""),45573.5260617361)</f>
        <v>45573.526061736098</v>
      </c>
      <c r="B21" s="3" t="str">
        <f ca="1">IFERROR(__xludf.DUMMYFUNCTION("""COMPUTED_VALUE"""),"mtahmahkera2@normanps.org")</f>
        <v>mtahmahkera2@normanps.org</v>
      </c>
      <c r="C21" s="3"/>
      <c r="D21" s="3"/>
      <c r="E21" s="3"/>
      <c r="F21" s="6"/>
      <c r="G21" s="3">
        <f ca="1">IFERROR(__xludf.DUMMYFUNCTION("""COMPUTED_VALUE"""),6)</f>
        <v>6</v>
      </c>
      <c r="H21" s="3">
        <f ca="1">IFERROR(__xludf.DUMMYFUNCTION("""COMPUTED_VALUE"""),1)</f>
        <v>1</v>
      </c>
      <c r="I21" s="3"/>
      <c r="J21" s="3"/>
      <c r="K21" s="3"/>
      <c r="L21" s="3" t="str">
        <f ca="1">IFERROR(__xludf.DUMMYFUNCTION("""COMPUTED_VALUE"""),"3D Printer")</f>
        <v>3D Printer</v>
      </c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IFERROR(__xludf.DUMMYFUNCTION("""COMPUTED_VALUE"""),"Irving")</f>
        <v>Irving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3" x14ac:dyDescent="0.15">
      <c r="A22" s="2">
        <f ca="1">IFERROR(__xludf.DUMMYFUNCTION("""COMPUTED_VALUE"""),45597.6458768287)</f>
        <v>45597.645876828698</v>
      </c>
      <c r="B22" s="3" t="str">
        <f ca="1">IFERROR(__xludf.DUMMYFUNCTION("""COMPUTED_VALUE"""),"mtahmahkera2@normanps.org")</f>
        <v>mtahmahkera2@normanps.org</v>
      </c>
      <c r="C22" s="3"/>
      <c r="D22" s="3">
        <f ca="1">IFERROR(__xludf.DUMMYFUNCTION("""COMPUTED_VALUE"""),6)</f>
        <v>6</v>
      </c>
      <c r="E22" s="3"/>
      <c r="F22" s="6"/>
      <c r="G22" s="3">
        <f ca="1">IFERROR(__xludf.DUMMYFUNCTION("""COMPUTED_VALUE"""),8)</f>
        <v>8</v>
      </c>
      <c r="H22" s="3">
        <f ca="1">IFERROR(__xludf.DUMMYFUNCTION("""COMPUTED_VALUE"""),5)</f>
        <v>5</v>
      </c>
      <c r="I22" s="3" t="str">
        <f ca="1">IFERROR(__xludf.DUMMYFUNCTION("""COMPUTED_VALUE"""),"Inquire")</f>
        <v>Inquire</v>
      </c>
      <c r="J22" s="3" t="str">
        <f ca="1">IFERROR(__xludf.DUMMYFUNCTION("""COMPUTED_VALUE"""),"Social Studies")</f>
        <v>Social Studies</v>
      </c>
      <c r="K22" s="3" t="str">
        <f ca="1">IFERROR(__xludf.DUMMYFUNCTION("""COMPUTED_VALUE"""),"Sixth")</f>
        <v>Sixth</v>
      </c>
      <c r="L22" s="3" t="str">
        <f ca="1">IFERROR(__xludf.DUMMYFUNCTION("""COMPUTED_VALUE"""),"3D Pen")</f>
        <v>3D Pen</v>
      </c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IFERROR(__xludf.DUMMYFUNCTION("""COMPUTED_VALUE"""),"Irving")</f>
        <v>Irving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3" x14ac:dyDescent="0.15">
      <c r="A23" s="2">
        <f ca="1">IFERROR(__xludf.DUMMYFUNCTION("""COMPUTED_VALUE"""),45597.6466500462)</f>
        <v>45597.646650046197</v>
      </c>
      <c r="B23" s="3" t="str">
        <f ca="1">IFERROR(__xludf.DUMMYFUNCTION("""COMPUTED_VALUE"""),"mtahmahkera2@normanps.org")</f>
        <v>mtahmahkera2@normanps.org</v>
      </c>
      <c r="C23" s="3"/>
      <c r="D23" s="3">
        <f ca="1">IFERROR(__xludf.DUMMYFUNCTION("""COMPUTED_VALUE"""),4)</f>
        <v>4</v>
      </c>
      <c r="E23" s="3"/>
      <c r="F23" s="6"/>
      <c r="G23" s="3"/>
      <c r="H23" s="3"/>
      <c r="I23" s="3" t="str">
        <f ca="1">IFERROR(__xludf.DUMMYFUNCTION("""COMPUTED_VALUE"""),"Explore")</f>
        <v>Explore</v>
      </c>
      <c r="J23" s="3" t="str">
        <f ca="1">IFERROR(__xludf.DUMMYFUNCTION("""COMPUTED_VALUE"""),"ELA")</f>
        <v>ELA</v>
      </c>
      <c r="K23" s="3" t="str">
        <f ca="1">IFERROR(__xludf.DUMMYFUNCTION("""COMPUTED_VALUE"""),"Eighth")</f>
        <v>Eighth</v>
      </c>
      <c r="L23" s="3"/>
      <c r="M23" s="3"/>
      <c r="N23" s="3"/>
      <c r="O23" s="3"/>
      <c r="P23" s="3"/>
      <c r="Q23" s="3"/>
      <c r="R23" s="3"/>
      <c r="S23" s="3"/>
      <c r="T23" s="3" t="str">
        <f ca="1">IFERROR(__xludf.DUMMYFUNCTION("""COMPUTED_VALUE"""),"Irving")</f>
        <v>Irving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3" x14ac:dyDescent="0.15">
      <c r="A24" s="2">
        <f ca="1">IFERROR(__xludf.DUMMYFUNCTION("""COMPUTED_VALUE"""),45597.6494524305)</f>
        <v>45597.649452430502</v>
      </c>
      <c r="B24" s="3" t="str">
        <f ca="1">IFERROR(__xludf.DUMMYFUNCTION("""COMPUTED_VALUE"""),"mtahmahkera2@normanps.org")</f>
        <v>mtahmahkera2@normanps.org</v>
      </c>
      <c r="C24" s="3"/>
      <c r="D24" s="3">
        <f ca="1">IFERROR(__xludf.DUMMYFUNCTION("""COMPUTED_VALUE"""),1)</f>
        <v>1</v>
      </c>
      <c r="E24" s="3"/>
      <c r="F24" s="6"/>
      <c r="G24" s="3"/>
      <c r="H24" s="3"/>
      <c r="I24" s="3" t="str">
        <f ca="1">IFERROR(__xludf.DUMMYFUNCTION("""COMPUTED_VALUE"""),"Engage")</f>
        <v>Engage</v>
      </c>
      <c r="J24" s="3" t="str">
        <f ca="1">IFERROR(__xludf.DUMMYFUNCTION("""COMPUTED_VALUE"""),"ELA")</f>
        <v>ELA</v>
      </c>
      <c r="K24" s="3" t="str">
        <f ca="1">IFERROR(__xludf.DUMMYFUNCTION("""COMPUTED_VALUE"""),"MS multi-grade class")</f>
        <v>MS multi-grade class</v>
      </c>
      <c r="L24" s="3"/>
      <c r="M24" s="3"/>
      <c r="N24" s="3"/>
      <c r="O24" s="3"/>
      <c r="P24" s="3"/>
      <c r="Q24" s="3"/>
      <c r="R24" s="3"/>
      <c r="S24" s="3"/>
      <c r="T24" s="3" t="str">
        <f ca="1">IFERROR(__xludf.DUMMYFUNCTION("""COMPUTED_VALUE"""),"Irving")</f>
        <v>Irving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3" x14ac:dyDescent="0.15">
      <c r="A25" s="2">
        <f ca="1">IFERROR(__xludf.DUMMYFUNCTION("""COMPUTED_VALUE"""),45597.6607416551)</f>
        <v>45597.660741655098</v>
      </c>
      <c r="B25" s="3" t="str">
        <f ca="1">IFERROR(__xludf.DUMMYFUNCTION("""COMPUTED_VALUE"""),"mtahmahkera2@normanps.org")</f>
        <v>mtahmahkera2@normanps.org</v>
      </c>
      <c r="C25" s="3"/>
      <c r="D25" s="3">
        <f ca="1">IFERROR(__xludf.DUMMYFUNCTION("""COMPUTED_VALUE"""),4)</f>
        <v>4</v>
      </c>
      <c r="E25" s="3"/>
      <c r="F25" s="6"/>
      <c r="G25" s="3">
        <f ca="1">IFERROR(__xludf.DUMMYFUNCTION("""COMPUTED_VALUE"""),4)</f>
        <v>4</v>
      </c>
      <c r="H25" s="3">
        <f ca="1">IFERROR(__xludf.DUMMYFUNCTION("""COMPUTED_VALUE"""),5)</f>
        <v>5</v>
      </c>
      <c r="I25" s="3" t="str">
        <f ca="1">IFERROR(__xludf.DUMMYFUNCTION("""COMPUTED_VALUE"""),"Inquire")</f>
        <v>Inquire</v>
      </c>
      <c r="J25" s="3" t="str">
        <f ca="1">IFERROR(__xludf.DUMMYFUNCTION("""COMPUTED_VALUE"""),"Social Studies")</f>
        <v>Social Studies</v>
      </c>
      <c r="K25" s="3" t="str">
        <f ca="1">IFERROR(__xludf.DUMMYFUNCTION("""COMPUTED_VALUE"""),"Sixth")</f>
        <v>Sixth</v>
      </c>
      <c r="L25" s="3" t="str">
        <f ca="1">IFERROR(__xludf.DUMMYFUNCTION("""COMPUTED_VALUE"""),"Perler Beads")</f>
        <v>Perler Beads</v>
      </c>
      <c r="M25" s="3"/>
      <c r="N25" s="3"/>
      <c r="O25" s="3"/>
      <c r="P25" s="3"/>
      <c r="Q25" s="3"/>
      <c r="R25" s="3"/>
      <c r="S25" s="3"/>
      <c r="T25" s="3" t="str">
        <f ca="1">IFERROR(__xludf.DUMMYFUNCTION("""COMPUTED_VALUE"""),"Irving")</f>
        <v>Irving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3" x14ac:dyDescent="0.15">
      <c r="A26" s="2">
        <f ca="1">IFERROR(__xludf.DUMMYFUNCTION("""COMPUTED_VALUE"""),45597.661727905)</f>
        <v>45597.661727904997</v>
      </c>
      <c r="B26" s="3" t="str">
        <f ca="1">IFERROR(__xludf.DUMMYFUNCTION("""COMPUTED_VALUE"""),"mtahmahkera2@normanps.org")</f>
        <v>mtahmahkera2@normanps.org</v>
      </c>
      <c r="C26" s="3"/>
      <c r="D26" s="3"/>
      <c r="E26" s="3"/>
      <c r="F26" s="6"/>
      <c r="G26" s="3"/>
      <c r="H26" s="3"/>
      <c r="I26" s="3"/>
      <c r="J26" s="3"/>
      <c r="K26" s="3"/>
      <c r="L26" s="3"/>
      <c r="M26" s="3"/>
      <c r="N26" s="3"/>
      <c r="O26" s="3"/>
      <c r="P26" s="3" t="str">
        <f ca="1">IFERROR(__xludf.DUMMYFUNCTION("""COMPUTED_VALUE"""),"Pioneer Library System")</f>
        <v>Pioneer Library System</v>
      </c>
      <c r="Q26" s="3" t="str">
        <f ca="1">IFERROR(__xludf.DUMMYFUNCTION("""COMPUTED_VALUE"""),"Leadership")</f>
        <v>Leadership</v>
      </c>
      <c r="R26" s="3" t="str">
        <f ca="1">IFERROR(__xludf.DUMMYFUNCTION("""COMPUTED_VALUE"""),"Art Journaling Class")</f>
        <v>Art Journaling Class</v>
      </c>
      <c r="S26" s="3"/>
      <c r="T26" s="3" t="str">
        <f ca="1">IFERROR(__xludf.DUMMYFUNCTION("""COMPUTED_VALUE"""),"Irving")</f>
        <v>Irving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3" x14ac:dyDescent="0.15">
      <c r="A27" s="2">
        <f ca="1">IFERROR(__xludf.DUMMYFUNCTION("""COMPUTED_VALUE"""),45597.6660975462)</f>
        <v>45597.6660975462</v>
      </c>
      <c r="B27" s="3" t="str">
        <f ca="1">IFERROR(__xludf.DUMMYFUNCTION("""COMPUTED_VALUE"""),"mtahmahkera2@normanps.org")</f>
        <v>mtahmahkera2@normanps.org</v>
      </c>
      <c r="C27" s="3"/>
      <c r="D27" s="3">
        <f ca="1">IFERROR(__xludf.DUMMYFUNCTION("""COMPUTED_VALUE"""),2)</f>
        <v>2</v>
      </c>
      <c r="E27" s="3"/>
      <c r="F27" s="6"/>
      <c r="G27" s="3"/>
      <c r="H27" s="3"/>
      <c r="I27" s="3" t="str">
        <f ca="1">IFERROR(__xludf.DUMMYFUNCTION("""COMPUTED_VALUE"""),"Engage")</f>
        <v>Engage</v>
      </c>
      <c r="J27" s="3" t="str">
        <f ca="1">IFERROR(__xludf.DUMMYFUNCTION("""COMPUTED_VALUE"""),"Computer Science")</f>
        <v>Computer Science</v>
      </c>
      <c r="K27" s="3" t="str">
        <f ca="1">IFERROR(__xludf.DUMMYFUNCTION("""COMPUTED_VALUE"""),"Seventh")</f>
        <v>Seventh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IFERROR(__xludf.DUMMYFUNCTION("""COMPUTED_VALUE"""),"Irving")</f>
        <v>Irving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3" x14ac:dyDescent="0.15">
      <c r="A28" s="2">
        <f ca="1">IFERROR(__xludf.DUMMYFUNCTION("""COMPUTED_VALUE"""),45597.6654855439)</f>
        <v>45597.665485543897</v>
      </c>
      <c r="B28" s="3" t="str">
        <f ca="1">IFERROR(__xludf.DUMMYFUNCTION("""COMPUTED_VALUE"""),"mtahmahkera2@normanps.org")</f>
        <v>mtahmahkera2@normanps.org</v>
      </c>
      <c r="C28" s="3"/>
      <c r="D28" s="3">
        <f ca="1">IFERROR(__xludf.DUMMYFUNCTION("""COMPUTED_VALUE"""),8)</f>
        <v>8</v>
      </c>
      <c r="E28" s="3"/>
      <c r="F28" s="6"/>
      <c r="G28" s="3">
        <f ca="1">IFERROR(__xludf.DUMMYFUNCTION("""COMPUTED_VALUE"""),9)</f>
        <v>9</v>
      </c>
      <c r="H28" s="3">
        <f ca="1">IFERROR(__xludf.DUMMYFUNCTION("""COMPUTED_VALUE"""),5)</f>
        <v>5</v>
      </c>
      <c r="I28" s="3" t="str">
        <f ca="1">IFERROR(__xludf.DUMMYFUNCTION("""COMPUTED_VALUE"""),"Engage")</f>
        <v>Engage</v>
      </c>
      <c r="J28" s="3" t="str">
        <f ca="1">IFERROR(__xludf.DUMMYFUNCTION("""COMPUTED_VALUE"""),"Social Studies")</f>
        <v>Social Studies</v>
      </c>
      <c r="K28" s="3" t="str">
        <f ca="1">IFERROR(__xludf.DUMMYFUNCTION("""COMPUTED_VALUE"""),"Sixth")</f>
        <v>Sixth</v>
      </c>
      <c r="L28" s="3"/>
      <c r="M28" s="3"/>
      <c r="N28" s="3"/>
      <c r="O28" s="3"/>
      <c r="P28" s="3"/>
      <c r="Q28" s="3"/>
      <c r="R28" s="3" t="str">
        <f ca="1">IFERROR(__xludf.DUMMYFUNCTION("""COMPUTED_VALUE"""),"7th Grade Book Club")</f>
        <v>7th Grade Book Club</v>
      </c>
      <c r="S28" s="3"/>
      <c r="T28" s="3" t="str">
        <f ca="1">IFERROR(__xludf.DUMMYFUNCTION("""COMPUTED_VALUE"""),"Irving")</f>
        <v>Irving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3" x14ac:dyDescent="0.15">
      <c r="A29" s="2">
        <f ca="1">IFERROR(__xludf.DUMMYFUNCTION("""COMPUTED_VALUE"""),45597.6665324421)</f>
        <v>45597.666532442097</v>
      </c>
      <c r="B29" s="3" t="str">
        <f ca="1">IFERROR(__xludf.DUMMYFUNCTION("""COMPUTED_VALUE"""),"mtahmahkera2@normanps.org")</f>
        <v>mtahmahkera2@normanps.org</v>
      </c>
      <c r="C29" s="3"/>
      <c r="D29" s="3">
        <f ca="1">IFERROR(__xludf.DUMMYFUNCTION("""COMPUTED_VALUE"""),1)</f>
        <v>1</v>
      </c>
      <c r="E29" s="3"/>
      <c r="F29" s="6"/>
      <c r="G29" s="3"/>
      <c r="H29" s="3"/>
      <c r="I29" s="3" t="str">
        <f ca="1">IFERROR(__xludf.DUMMYFUNCTION("""COMPUTED_VALUE"""),"Engage")</f>
        <v>Engage</v>
      </c>
      <c r="J29" s="3" t="str">
        <f ca="1">IFERROR(__xludf.DUMMYFUNCTION("""COMPUTED_VALUE"""),"Computer Science")</f>
        <v>Computer Science</v>
      </c>
      <c r="K29" s="3" t="str">
        <f ca="1">IFERROR(__xludf.DUMMYFUNCTION("""COMPUTED_VALUE"""),"Eighth")</f>
        <v>Eighth</v>
      </c>
      <c r="L29" s="3"/>
      <c r="M29" s="3"/>
      <c r="N29" s="3"/>
      <c r="O29" s="3"/>
      <c r="P29" s="3"/>
      <c r="Q29" s="3"/>
      <c r="R29" s="3"/>
      <c r="S29" s="3"/>
      <c r="T29" s="3" t="str">
        <f ca="1">IFERROR(__xludf.DUMMYFUNCTION("""COMPUTED_VALUE"""),"Irving")</f>
        <v>Irving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3" x14ac:dyDescent="0.15">
      <c r="A30" s="2">
        <f ca="1">IFERROR(__xludf.DUMMYFUNCTION("""COMPUTED_VALUE"""),45597.667546412)</f>
        <v>45597.667546411998</v>
      </c>
      <c r="B30" s="3" t="str">
        <f ca="1">IFERROR(__xludf.DUMMYFUNCTION("""COMPUTED_VALUE"""),"mtahmahkera2@normanps.org")</f>
        <v>mtahmahkera2@normanps.org</v>
      </c>
      <c r="C30" s="3"/>
      <c r="D30" s="3">
        <f ca="1">IFERROR(__xludf.DUMMYFUNCTION("""COMPUTED_VALUE"""),1)</f>
        <v>1</v>
      </c>
      <c r="E30" s="3"/>
      <c r="F30" s="6"/>
      <c r="G30" s="3"/>
      <c r="H30" s="3"/>
      <c r="I30" s="3"/>
      <c r="J30" s="3"/>
      <c r="K30" s="3" t="str">
        <f ca="1">IFERROR(__xludf.DUMMYFUNCTION("""COMPUTED_VALUE"""),"Autism/SPED multi-level middle school")</f>
        <v>Autism/SPED multi-level middle school</v>
      </c>
      <c r="L30" s="3"/>
      <c r="M30" s="3"/>
      <c r="N30" s="3"/>
      <c r="O30" s="3"/>
      <c r="P30" s="3"/>
      <c r="Q30" s="3"/>
      <c r="R30" s="3"/>
      <c r="S30" s="3"/>
      <c r="T30" s="3" t="str">
        <f ca="1">IFERROR(__xludf.DUMMYFUNCTION("""COMPUTED_VALUE"""),"Irving")</f>
        <v>Irving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3" x14ac:dyDescent="0.15">
      <c r="A31" s="2">
        <f ca="1">IFERROR(__xludf.DUMMYFUNCTION("""COMPUTED_VALUE"""),45601.3680402083)</f>
        <v>45601.368040208297</v>
      </c>
      <c r="B31" s="3" t="str">
        <f ca="1">IFERROR(__xludf.DUMMYFUNCTION("""COMPUTED_VALUE"""),"mtahmahkera2@normanps.org")</f>
        <v>mtahmahkera2@normanps.org</v>
      </c>
      <c r="C31" s="3"/>
      <c r="D31" s="3"/>
      <c r="E31" s="3"/>
      <c r="F31" s="6"/>
      <c r="G31" s="3"/>
      <c r="H31" s="3">
        <f ca="1">IFERROR(__xludf.DUMMYFUNCTION("""COMPUTED_VALUE"""),5)</f>
        <v>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tr">
        <f ca="1">IFERROR(__xludf.DUMMYFUNCTION("""COMPUTED_VALUE"""),"Irving")</f>
        <v>Irving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3" x14ac:dyDescent="0.15">
      <c r="A32" s="2">
        <f ca="1">IFERROR(__xludf.DUMMYFUNCTION("""COMPUTED_VALUE"""),45608.6345561111)</f>
        <v>45608.634556111101</v>
      </c>
      <c r="B32" s="3" t="str">
        <f ca="1">IFERROR(__xludf.DUMMYFUNCTION("""COMPUTED_VALUE"""),"mtahmahkera2@normanps.org")</f>
        <v>mtahmahkera2@normanps.org</v>
      </c>
      <c r="C32" s="3"/>
      <c r="D32" s="3"/>
      <c r="E32" s="3"/>
      <c r="F32" s="6">
        <f ca="1">IFERROR(__xludf.DUMMYFUNCTION("""COMPUTED_VALUE"""),504.69)</f>
        <v>504.69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tr">
        <f ca="1">IFERROR(__xludf.DUMMYFUNCTION("""COMPUTED_VALUE"""),"Irving")</f>
        <v>Irving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15">
      <c r="A33" s="2">
        <f ca="1">IFERROR(__xludf.DUMMYFUNCTION("""COMPUTED_VALUE"""),45608.6359017708)</f>
        <v>45608.635901770802</v>
      </c>
      <c r="B33" s="3" t="str">
        <f ca="1">IFERROR(__xludf.DUMMYFUNCTION("""COMPUTED_VALUE"""),"mtahmahkera2@normanps.org")</f>
        <v>mtahmahkera2@normanps.org</v>
      </c>
      <c r="C33" s="3"/>
      <c r="D33" s="3"/>
      <c r="E33" s="3"/>
      <c r="F33" s="6"/>
      <c r="G33" s="3">
        <f ca="1">IFERROR(__xludf.DUMMYFUNCTION("""COMPUTED_VALUE"""),6)</f>
        <v>6</v>
      </c>
      <c r="H33" s="3">
        <f ca="1">IFERROR(__xludf.DUMMYFUNCTION("""COMPUTED_VALUE"""),5)</f>
        <v>5</v>
      </c>
      <c r="I33" s="3"/>
      <c r="J33" s="3"/>
      <c r="K33" s="3"/>
      <c r="L33" s="3" t="str">
        <f ca="1">IFERROR(__xludf.DUMMYFUNCTION("""COMPUTED_VALUE"""),"3D Printer")</f>
        <v>3D Printer</v>
      </c>
      <c r="M33" s="3"/>
      <c r="N33" s="3"/>
      <c r="O33" s="3"/>
      <c r="P33" s="3"/>
      <c r="Q33" s="3"/>
      <c r="R33" s="3" t="str">
        <f ca="1">IFERROR(__xludf.DUMMYFUNCTION("""COMPUTED_VALUE"""),"8th Grade Bookclub")</f>
        <v>8th Grade Bookclub</v>
      </c>
      <c r="S33" s="3"/>
      <c r="T33" s="3" t="str">
        <f ca="1">IFERROR(__xludf.DUMMYFUNCTION("""COMPUTED_VALUE"""),"Irving")</f>
        <v>Irving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15">
      <c r="A34" s="2">
        <f ca="1">IFERROR(__xludf.DUMMYFUNCTION("""COMPUTED_VALUE"""),45611.4758437037)</f>
        <v>45611.475843703702</v>
      </c>
      <c r="B34" s="3" t="str">
        <f ca="1">IFERROR(__xludf.DUMMYFUNCTION("""COMPUTED_VALUE"""),"mtahmahkera2@normanps.org")</f>
        <v>mtahmahkera2@normanps.org</v>
      </c>
      <c r="C34" s="3"/>
      <c r="D34" s="3"/>
      <c r="E34" s="3"/>
      <c r="F34" s="6"/>
      <c r="G34" s="3">
        <f ca="1">IFERROR(__xludf.DUMMYFUNCTION("""COMPUTED_VALUE"""),11)</f>
        <v>11</v>
      </c>
      <c r="H34" s="3">
        <f ca="1">IFERROR(__xludf.DUMMYFUNCTION("""COMPUTED_VALUE"""),2)</f>
        <v>2</v>
      </c>
      <c r="I34" s="3"/>
      <c r="J34" s="3"/>
      <c r="K34" s="3"/>
      <c r="L34" s="3" t="str">
        <f ca="1">IFERROR(__xludf.DUMMYFUNCTION("""COMPUTED_VALUE"""),"3D Printer")</f>
        <v>3D Printer</v>
      </c>
      <c r="M34" s="3"/>
      <c r="N34" s="3"/>
      <c r="O34" s="3"/>
      <c r="P34" s="3"/>
      <c r="Q34" s="3"/>
      <c r="R34" s="3"/>
      <c r="S34" s="3">
        <f ca="1">IFERROR(__xludf.DUMMYFUNCTION("""COMPUTED_VALUE"""),1)</f>
        <v>1</v>
      </c>
      <c r="T34" s="3" t="str">
        <f ca="1">IFERROR(__xludf.DUMMYFUNCTION("""COMPUTED_VALUE"""),"Irving")</f>
        <v>Irving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15">
      <c r="A35" s="2">
        <f ca="1">IFERROR(__xludf.DUMMYFUNCTION("""COMPUTED_VALUE"""),45628.4166424884)</f>
        <v>45628.416642488402</v>
      </c>
      <c r="B35" s="3" t="str">
        <f ca="1">IFERROR(__xludf.DUMMYFUNCTION("""COMPUTED_VALUE"""),"mtahmahkera2@normanps.org")</f>
        <v>mtahmahkera2@normanps.org</v>
      </c>
      <c r="C35" s="3"/>
      <c r="D35" s="3">
        <f ca="1">IFERROR(__xludf.DUMMYFUNCTION("""COMPUTED_VALUE"""),4)</f>
        <v>4</v>
      </c>
      <c r="E35" s="3"/>
      <c r="F35" s="6"/>
      <c r="G35" s="3"/>
      <c r="H35" s="3"/>
      <c r="I35" s="3"/>
      <c r="J35" s="3" t="str">
        <f ca="1">IFERROR(__xludf.DUMMYFUNCTION("""COMPUTED_VALUE"""),"Social Studies")</f>
        <v>Social Studies</v>
      </c>
      <c r="K35" s="3" t="str">
        <f ca="1">IFERROR(__xludf.DUMMYFUNCTION("""COMPUTED_VALUE"""),"Seventh")</f>
        <v>Seventh</v>
      </c>
      <c r="L35" s="3"/>
      <c r="M35" s="3"/>
      <c r="N35" s="3"/>
      <c r="O35" s="3"/>
      <c r="P35" s="3"/>
      <c r="Q35" s="3" t="str">
        <f ca="1">IFERROR(__xludf.DUMMYFUNCTION("""COMPUTED_VALUE"""),"Leadership Meeting")</f>
        <v>Leadership Meeting</v>
      </c>
      <c r="R35" s="3"/>
      <c r="S35" s="3">
        <f ca="1">IFERROR(__xludf.DUMMYFUNCTION("""COMPUTED_VALUE"""),1)</f>
        <v>1</v>
      </c>
      <c r="T35" s="3" t="str">
        <f ca="1">IFERROR(__xludf.DUMMYFUNCTION("""COMPUTED_VALUE"""),"Irving")</f>
        <v>Irving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15">
      <c r="A36" s="2">
        <f ca="1">IFERROR(__xludf.DUMMYFUNCTION("""COMPUTED_VALUE"""),45628.417463125)</f>
        <v>45628.417463124999</v>
      </c>
      <c r="B36" s="3" t="str">
        <f ca="1">IFERROR(__xludf.DUMMYFUNCTION("""COMPUTED_VALUE"""),"mtahmahkera2@normanps.org")</f>
        <v>mtahmahkera2@normanps.org</v>
      </c>
      <c r="C36" s="3"/>
      <c r="D36" s="3">
        <f ca="1">IFERROR(__xludf.DUMMYFUNCTION("""COMPUTED_VALUE"""),1)</f>
        <v>1</v>
      </c>
      <c r="E36" s="3"/>
      <c r="F36" s="6"/>
      <c r="G36" s="3">
        <f ca="1">IFERROR(__xludf.DUMMYFUNCTION("""COMPUTED_VALUE"""),7)</f>
        <v>7</v>
      </c>
      <c r="H36" s="3">
        <f ca="1">IFERROR(__xludf.DUMMYFUNCTION("""COMPUTED_VALUE"""),2)</f>
        <v>2</v>
      </c>
      <c r="I36" s="3"/>
      <c r="J36" s="3"/>
      <c r="K36" s="3" t="str">
        <f ca="1">IFERROR(__xludf.DUMMYFUNCTION("""COMPUTED_VALUE"""),"Autism/SPED multi-level middle school")</f>
        <v>Autism/SPED multi-level middle school</v>
      </c>
      <c r="L36" s="3"/>
      <c r="M36" s="3"/>
      <c r="N36" s="3"/>
      <c r="O36" s="3"/>
      <c r="P36" s="3"/>
      <c r="Q36" s="3"/>
      <c r="R36" s="3"/>
      <c r="S36" s="3"/>
      <c r="T36" s="3" t="str">
        <f ca="1">IFERROR(__xludf.DUMMYFUNCTION("""COMPUTED_VALUE"""),"Irving")</f>
        <v>Irving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15">
      <c r="A37" s="2">
        <f ca="1">IFERROR(__xludf.DUMMYFUNCTION("""COMPUTED_VALUE"""),45644.5437300694)</f>
        <v>45644.543730069403</v>
      </c>
      <c r="B37" s="3" t="str">
        <f ca="1">IFERROR(__xludf.DUMMYFUNCTION("""COMPUTED_VALUE"""),"sschrank@normanps.org")</f>
        <v>sschrank@normanps.org</v>
      </c>
      <c r="C37" s="3">
        <f ca="1">IFERROR(__xludf.DUMMYFUNCTION("""COMPUTED_VALUE"""),687)</f>
        <v>687</v>
      </c>
      <c r="D37" s="3"/>
      <c r="E37" s="3"/>
      <c r="F37" s="6"/>
      <c r="G37" s="3"/>
      <c r="H37" s="3"/>
      <c r="I37" s="3"/>
      <c r="J37" s="3"/>
      <c r="K37" s="3"/>
      <c r="L37" s="3"/>
      <c r="M37" s="3"/>
      <c r="N37" s="3">
        <f ca="1">IFERROR(__xludf.DUMMYFUNCTION("""COMPUTED_VALUE"""),203)</f>
        <v>203</v>
      </c>
      <c r="O37" s="3"/>
      <c r="P37" s="3"/>
      <c r="Q37" s="3"/>
      <c r="R37" s="3"/>
      <c r="S37" s="3"/>
      <c r="T37" s="3" t="str">
        <f ca="1">IFERROR(__xludf.DUMMYFUNCTION("""COMPUTED_VALUE"""),"Irving")</f>
        <v>Irving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15">
      <c r="A38" s="2">
        <f ca="1">IFERROR(__xludf.DUMMYFUNCTION("""COMPUTED_VALUE"""),45645.4646474305)</f>
        <v>45645.464647430497</v>
      </c>
      <c r="B38" s="3" t="str">
        <f ca="1">IFERROR(__xludf.DUMMYFUNCTION("""COMPUTED_VALUE"""),"mtahmahkera2@normanps.org")</f>
        <v>mtahmahkera2@normanps.org</v>
      </c>
      <c r="C38" s="3"/>
      <c r="D38" s="3">
        <f ca="1">IFERROR(__xludf.DUMMYFUNCTION("""COMPUTED_VALUE"""),2)</f>
        <v>2</v>
      </c>
      <c r="E38" s="3"/>
      <c r="F38" s="6"/>
      <c r="G38" s="3">
        <f ca="1">IFERROR(__xludf.DUMMYFUNCTION("""COMPUTED_VALUE"""),8)</f>
        <v>8</v>
      </c>
      <c r="H38" s="3">
        <f ca="1">IFERROR(__xludf.DUMMYFUNCTION("""COMPUTED_VALUE"""),5)</f>
        <v>5</v>
      </c>
      <c r="I38" s="3"/>
      <c r="J38" s="3" t="str">
        <f ca="1">IFERROR(__xludf.DUMMYFUNCTION("""COMPUTED_VALUE"""),"ELA")</f>
        <v>ELA</v>
      </c>
      <c r="K38" s="3" t="str">
        <f ca="1">IFERROR(__xludf.DUMMYFUNCTION("""COMPUTED_VALUE"""),"Sixth")</f>
        <v>Sixth</v>
      </c>
      <c r="L38" s="3" t="str">
        <f ca="1">IFERROR(__xludf.DUMMYFUNCTION("""COMPUTED_VALUE"""),"Perler Beads")</f>
        <v>Perler Beads</v>
      </c>
      <c r="M38" s="3">
        <f ca="1">IFERROR(__xludf.DUMMYFUNCTION("""COMPUTED_VALUE"""),5)</f>
        <v>5</v>
      </c>
      <c r="N38" s="3"/>
      <c r="O38" s="3"/>
      <c r="P38" s="3"/>
      <c r="Q38" s="3"/>
      <c r="R38" s="3"/>
      <c r="S38" s="3"/>
      <c r="T38" s="3" t="str">
        <f ca="1">IFERROR(__xludf.DUMMYFUNCTION("""COMPUTED_VALUE"""),"Irving")</f>
        <v>Irving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15">
      <c r="A39" s="2">
        <f ca="1">IFERROR(__xludf.DUMMYFUNCTION("""COMPUTED_VALUE"""),45672.3474472569)</f>
        <v>45672.3474472569</v>
      </c>
      <c r="B39" s="3" t="str">
        <f ca="1">IFERROR(__xludf.DUMMYFUNCTION("""COMPUTED_VALUE"""),"sschrank@normanps.org")</f>
        <v>sschrank@normanps.org</v>
      </c>
      <c r="C39" s="3">
        <f ca="1">IFERROR(__xludf.DUMMYFUNCTION("""COMPUTED_VALUE"""),196)</f>
        <v>196</v>
      </c>
      <c r="D39" s="3"/>
      <c r="E39" s="3"/>
      <c r="F39" s="6"/>
      <c r="G39" s="3"/>
      <c r="H39" s="3"/>
      <c r="I39" s="3"/>
      <c r="J39" s="3"/>
      <c r="K39" s="3"/>
      <c r="L39" s="3"/>
      <c r="M39" s="3"/>
      <c r="N39" s="3">
        <f ca="1">IFERROR(__xludf.DUMMYFUNCTION("""COMPUTED_VALUE"""),71)</f>
        <v>71</v>
      </c>
      <c r="O39" s="3"/>
      <c r="P39" s="3"/>
      <c r="Q39" s="3"/>
      <c r="R39" s="3"/>
      <c r="S39" s="3"/>
      <c r="T39" s="3" t="str">
        <f ca="1">IFERROR(__xludf.DUMMYFUNCTION("""COMPUTED_VALUE"""),"Irving")</f>
        <v>Irving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15">
      <c r="A40" s="2">
        <f ca="1">IFERROR(__xludf.DUMMYFUNCTION("""COMPUTED_VALUE"""),45693.4856576273)</f>
        <v>45693.485657627301</v>
      </c>
      <c r="B40" s="3" t="str">
        <f ca="1">IFERROR(__xludf.DUMMYFUNCTION("""COMPUTED_VALUE"""),"sschrank@normanps.org")</f>
        <v>sschrank@normanps.org</v>
      </c>
      <c r="C40" s="3">
        <f ca="1">IFERROR(__xludf.DUMMYFUNCTION("""COMPUTED_VALUE"""),321)</f>
        <v>321</v>
      </c>
      <c r="D40" s="3"/>
      <c r="E40" s="3"/>
      <c r="F40" s="6"/>
      <c r="G40" s="3"/>
      <c r="H40" s="3"/>
      <c r="I40" s="3"/>
      <c r="J40" s="3"/>
      <c r="K40" s="3"/>
      <c r="L40" s="3"/>
      <c r="M40" s="3"/>
      <c r="N40" s="3">
        <f ca="1">IFERROR(__xludf.DUMMYFUNCTION("""COMPUTED_VALUE"""),167)</f>
        <v>167</v>
      </c>
      <c r="O40" s="3"/>
      <c r="P40" s="3"/>
      <c r="Q40" s="3"/>
      <c r="R40" s="3"/>
      <c r="S40" s="3"/>
      <c r="T40" s="3" t="str">
        <f ca="1">IFERROR(__xludf.DUMMYFUNCTION("""COMPUTED_VALUE"""),"Irving")</f>
        <v>Irving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3" x14ac:dyDescent="0.15">
      <c r="A41" s="2">
        <f ca="1">IFERROR(__xludf.DUMMYFUNCTION("""COMPUTED_VALUE"""),45727.4445470601)</f>
        <v>45727.444547060099</v>
      </c>
      <c r="B41" s="3" t="str">
        <f ca="1">IFERROR(__xludf.DUMMYFUNCTION("""COMPUTED_VALUE"""),"mtahmahkera2@normanps.org")</f>
        <v>mtahmahkera2@normanps.org</v>
      </c>
      <c r="C41" s="3"/>
      <c r="D41" s="3"/>
      <c r="E41" s="3"/>
      <c r="F41" s="6"/>
      <c r="G41" s="3"/>
      <c r="H41" s="3">
        <f ca="1">IFERROR(__xludf.DUMMYFUNCTION("""COMPUTED_VALUE"""),30)</f>
        <v>30</v>
      </c>
      <c r="I41" s="3"/>
      <c r="J41" s="3"/>
      <c r="K41" s="3"/>
      <c r="L41" s="3"/>
      <c r="M41" s="3">
        <f ca="1">IFERROR(__xludf.DUMMYFUNCTION("""COMPUTED_VALUE"""),6)</f>
        <v>6</v>
      </c>
      <c r="N41" s="3"/>
      <c r="O41" s="3"/>
      <c r="P41" s="3"/>
      <c r="Q41" s="3"/>
      <c r="R41" s="3"/>
      <c r="S41" s="3"/>
      <c r="T41" s="3" t="str">
        <f ca="1">IFERROR(__xludf.DUMMYFUNCTION("""COMPUTED_VALUE"""),"Irving")</f>
        <v>Irving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3" x14ac:dyDescent="0.15">
      <c r="A42" s="2">
        <f ca="1">IFERROR(__xludf.DUMMYFUNCTION("""COMPUTED_VALUE"""),45727.4527100463)</f>
        <v>45727.452710046302</v>
      </c>
      <c r="B42" s="3" t="str">
        <f ca="1">IFERROR(__xludf.DUMMYFUNCTION("""COMPUTED_VALUE"""),"mtahmahkera2@normanps.org")</f>
        <v>mtahmahkera2@normanps.org</v>
      </c>
      <c r="C42" s="3"/>
      <c r="D42" s="3">
        <f ca="1">IFERROR(__xludf.DUMMYFUNCTION("""COMPUTED_VALUE"""),8)</f>
        <v>8</v>
      </c>
      <c r="E42" s="3"/>
      <c r="F42" s="6"/>
      <c r="G42" s="3"/>
      <c r="H42" s="3">
        <f ca="1">IFERROR(__xludf.DUMMYFUNCTION("""COMPUTED_VALUE"""),20)</f>
        <v>20</v>
      </c>
      <c r="I42" s="3" t="str">
        <f ca="1">IFERROR(__xludf.DUMMYFUNCTION("""COMPUTED_VALUE"""),"Collaborate")</f>
        <v>Collaborate</v>
      </c>
      <c r="J42" s="3" t="str">
        <f ca="1">IFERROR(__xludf.DUMMYFUNCTION("""COMPUTED_VALUE"""),"Science")</f>
        <v>Science</v>
      </c>
      <c r="K42" s="3" t="str">
        <f ca="1">IFERROR(__xludf.DUMMYFUNCTION("""COMPUTED_VALUE"""),"Sixth")</f>
        <v>Sixth</v>
      </c>
      <c r="L42" s="3"/>
      <c r="M42" s="3"/>
      <c r="N42" s="3"/>
      <c r="O42" s="3"/>
      <c r="P42" s="3"/>
      <c r="Q42" s="3"/>
      <c r="R42" s="3"/>
      <c r="S42" s="3"/>
      <c r="T42" s="3" t="str">
        <f ca="1">IFERROR(__xludf.DUMMYFUNCTION("""COMPUTED_VALUE"""),"Irving")</f>
        <v>Irving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3" x14ac:dyDescent="0.15">
      <c r="A43" s="2">
        <f ca="1">IFERROR(__xludf.DUMMYFUNCTION("""COMPUTED_VALUE"""),45539.5974305555)</f>
        <v>45539.597430555499</v>
      </c>
      <c r="B43" s="3" t="str">
        <f ca="1">IFERROR(__xludf.DUMMYFUNCTION("""COMPUTED_VALUE"""),"akordelis2@normanps.org")</f>
        <v>akordelis2@normanps.org</v>
      </c>
      <c r="C43" s="3">
        <f ca="1">IFERROR(__xludf.DUMMYFUNCTION("""COMPUTED_VALUE"""),1)</f>
        <v>1</v>
      </c>
      <c r="D43" s="3">
        <f ca="1">IFERROR(__xludf.DUMMYFUNCTION("""COMPUTED_VALUE"""),1)</f>
        <v>1</v>
      </c>
      <c r="E43" s="3">
        <f ca="1">IFERROR(__xludf.DUMMYFUNCTION("""COMPUTED_VALUE"""),1)</f>
        <v>1</v>
      </c>
      <c r="F43" s="6">
        <f ca="1">IFERROR(__xludf.DUMMYFUNCTION("""COMPUTED_VALUE"""),1)</f>
        <v>1</v>
      </c>
      <c r="G43" s="3">
        <f ca="1">IFERROR(__xludf.DUMMYFUNCTION("""COMPUTED_VALUE"""),1)</f>
        <v>1</v>
      </c>
      <c r="H43" s="3">
        <f ca="1">IFERROR(__xludf.DUMMYFUNCTION("""COMPUTED_VALUE"""),1)</f>
        <v>1</v>
      </c>
      <c r="I43" s="3" t="str">
        <f ca="1">IFERROR(__xludf.DUMMYFUNCTION("""COMPUTED_VALUE"""),"Inquire")</f>
        <v>Inquire</v>
      </c>
      <c r="J43" s="3" t="str">
        <f ca="1">IFERROR(__xludf.DUMMYFUNCTION("""COMPUTED_VALUE"""),"ELA")</f>
        <v>ELA</v>
      </c>
      <c r="K43" s="3" t="str">
        <f ca="1">IFERROR(__xludf.DUMMYFUNCTION("""COMPUTED_VALUE"""),"Prek")</f>
        <v>Prek</v>
      </c>
      <c r="L43" s="3" t="str">
        <f ca="1">IFERROR(__xludf.DUMMYFUNCTION("""COMPUTED_VALUE"""),"Air Dry Clay")</f>
        <v>Air Dry Clay</v>
      </c>
      <c r="M43" s="3">
        <f ca="1">IFERROR(__xludf.DUMMYFUNCTION("""COMPUTED_VALUE"""),1)</f>
        <v>1</v>
      </c>
      <c r="N43" s="3">
        <f ca="1">IFERROR(__xludf.DUMMYFUNCTION("""COMPUTED_VALUE"""),1)</f>
        <v>1</v>
      </c>
      <c r="O43" s="3">
        <f ca="1">IFERROR(__xludf.DUMMYFUNCTION("""COMPUTED_VALUE"""),1)</f>
        <v>1</v>
      </c>
      <c r="P43" s="3" t="str">
        <f ca="1">IFERROR(__xludf.DUMMYFUNCTION("""COMPUTED_VALUE"""),"Pioneer")</f>
        <v>Pioneer</v>
      </c>
      <c r="Q43" s="3" t="str">
        <f ca="1">IFERROR(__xludf.DUMMYFUNCTION("""COMPUTED_VALUE"""),"OLA")</f>
        <v>OLA</v>
      </c>
      <c r="R43" s="3" t="str">
        <f ca="1">IFERROR(__xludf.DUMMYFUNCTION("""COMPUTED_VALUE"""),"Literacy Night")</f>
        <v>Literacy Night</v>
      </c>
      <c r="S43" s="3">
        <f ca="1">IFERROR(__xludf.DUMMYFUNCTION("""COMPUTED_VALUE"""),1)</f>
        <v>1</v>
      </c>
      <c r="T43" s="3" t="str">
        <f ca="1">IFERROR(__xludf.DUMMYFUNCTION("""COMPUTED_VALUE"""),"Irving")</f>
        <v>Irving</v>
      </c>
      <c r="U43" s="3"/>
      <c r="V43" s="3"/>
      <c r="W43" s="3"/>
      <c r="X43" s="3"/>
      <c r="Y43" s="3"/>
      <c r="Z43" s="3"/>
      <c r="AA43" s="3"/>
      <c r="AB43" s="3"/>
      <c r="AC43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J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57" customHeight="1" x14ac:dyDescent="0.15">
      <c r="A1" s="1" t="str">
        <f ca="1">IFERROR(__xludf.DUMMYFUNCTION("QUERY('District Data'!A:AC, ""SELECT * WHERE T = 'Longfellow'"",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IFERROR(__xludf.DUMMYFUNCTION("""COMPUTED_VALUE"""),45538.4123255671)</f>
        <v>45538.4123255671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IFERROR(__xludf.DUMMYFUNCTION("""COMPUTED_VALUE"""),568)</f>
        <v>568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IFERROR(__xludf.DUMMYFUNCTION("""COMPUTED_VALUE"""),42)</f>
        <v>42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IFERROR(__xludf.DUMMYFUNCTION("""COMPUTED_VALUE"""),"Longfellow")</f>
        <v>Longfellow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IFERROR(__xludf.DUMMYFUNCTION("""COMPUTED_VALUE"""),45569.4972604629)</f>
        <v>45569.4972604629</v>
      </c>
      <c r="B3" s="3" t="str">
        <f ca="1">IFERROR(__xludf.DUMMYFUNCTION("""COMPUTED_VALUE"""),"mchase2@normanps.org")</f>
        <v>mchase2@normanps.org</v>
      </c>
      <c r="C3" s="3"/>
      <c r="D3" s="3">
        <f ca="1">IFERROR(__xludf.DUMMYFUNCTION("""COMPUTED_VALUE"""),8)</f>
        <v>8</v>
      </c>
      <c r="E3" s="3"/>
      <c r="F3" s="6"/>
      <c r="G3" s="3"/>
      <c r="H3" s="3">
        <f ca="1">IFERROR(__xludf.DUMMYFUNCTION("""COMPUTED_VALUE"""),30)</f>
        <v>30</v>
      </c>
      <c r="I3" s="3" t="str">
        <f ca="1">IFERROR(__xludf.DUMMYFUNCTION("""COMPUTED_VALUE"""),"Inquire")</f>
        <v>Inquire</v>
      </c>
      <c r="J3" s="3" t="str">
        <f ca="1">IFERROR(__xludf.DUMMYFUNCTION("""COMPUTED_VALUE"""),"Social Studies")</f>
        <v>Social Studies</v>
      </c>
      <c r="K3" s="3" t="str">
        <f ca="1">IFERROR(__xludf.DUMMYFUNCTION("""COMPUTED_VALUE"""),"Seventh")</f>
        <v>Seventh</v>
      </c>
      <c r="L3" s="3" t="str">
        <f ca="1">IFERROR(__xludf.DUMMYFUNCTION("""COMPUTED_VALUE"""),"3D pens")</f>
        <v>3D pens</v>
      </c>
      <c r="M3" s="3"/>
      <c r="N3" s="3"/>
      <c r="O3" s="3"/>
      <c r="P3" s="3"/>
      <c r="Q3" s="3" t="str">
        <f ca="1">IFERROR(__xludf.DUMMYFUNCTION("""COMPUTED_VALUE"""),"LMS Instructional Leadership Team")</f>
        <v>LMS Instructional Leadership Team</v>
      </c>
      <c r="R3" s="3"/>
      <c r="S3" s="3">
        <f ca="1">IFERROR(__xludf.DUMMYFUNCTION("""COMPUTED_VALUE"""),3)</f>
        <v>3</v>
      </c>
      <c r="T3" s="3" t="str">
        <f ca="1">IFERROR(__xludf.DUMMYFUNCTION("""COMPUTED_VALUE"""),"Longfellow")</f>
        <v>Longfellow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IFERROR(__xludf.DUMMYFUNCTION("""COMPUTED_VALUE"""),45569.4986167592)</f>
        <v>45569.4986167592</v>
      </c>
      <c r="B4" s="3" t="str">
        <f ca="1">IFERROR(__xludf.DUMMYFUNCTION("""COMPUTED_VALUE"""),"mchase2@normanps.org")</f>
        <v>mchase2@normanps.org</v>
      </c>
      <c r="C4" s="3"/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 t="str">
        <f ca="1">IFERROR(__xludf.DUMMYFUNCTION("""COMPUTED_VALUE"""),"AASL")</f>
        <v>AASL</v>
      </c>
      <c r="R4" s="3"/>
      <c r="S4" s="3"/>
      <c r="T4" s="3" t="str">
        <f ca="1">IFERROR(__xludf.DUMMYFUNCTION("""COMPUTED_VALUE"""),"Longfellow")</f>
        <v>Longfellow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IFERROR(__xludf.DUMMYFUNCTION("""COMPUTED_VALUE"""),45569.498821493)</f>
        <v>45569.498821492998</v>
      </c>
      <c r="B5" s="3" t="str">
        <f ca="1">IFERROR(__xludf.DUMMYFUNCTION("""COMPUTED_VALUE"""),"mchase2@normanps.org")</f>
        <v>mchase2@normanps.org</v>
      </c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 t="str">
        <f ca="1">IFERROR(__xludf.DUMMYFUNCTION("""COMPUTED_VALUE"""),"AASL")</f>
        <v>AASL</v>
      </c>
      <c r="R5" s="3"/>
      <c r="S5" s="3"/>
      <c r="T5" s="3" t="str">
        <f ca="1">IFERROR(__xludf.DUMMYFUNCTION("""COMPUTED_VALUE"""),"Longfellow")</f>
        <v>Longfellow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IFERROR(__xludf.DUMMYFUNCTION("""COMPUTED_VALUE"""),45573.4212453703)</f>
        <v>45573.4212453703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IFERROR(__xludf.DUMMYFUNCTION("""COMPUTED_VALUE"""),406)</f>
        <v>406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IFERROR(__xludf.DUMMYFUNCTION("""COMPUTED_VALUE"""),125)</f>
        <v>125</v>
      </c>
      <c r="O6" s="3"/>
      <c r="P6" s="3"/>
      <c r="Q6" s="3"/>
      <c r="R6" s="3"/>
      <c r="S6" s="3"/>
      <c r="T6" s="3" t="str">
        <f ca="1">IFERROR(__xludf.DUMMYFUNCTION("""COMPUTED_VALUE"""),"Longfellow")</f>
        <v>Longfellow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IFERROR(__xludf.DUMMYFUNCTION("""COMPUTED_VALUE"""),45628.3977502662)</f>
        <v>45628.397750266202</v>
      </c>
      <c r="B7" s="3" t="str">
        <f ca="1">IFERROR(__xludf.DUMMYFUNCTION("""COMPUTED_VALUE"""),"mchase2@normanps.org")</f>
        <v>mchase2@normanps.org</v>
      </c>
      <c r="C7" s="3"/>
      <c r="D7" s="3"/>
      <c r="E7" s="3"/>
      <c r="F7" s="6">
        <f ca="1">IFERROR(__xludf.DUMMYFUNCTION("""COMPUTED_VALUE"""),250)</f>
        <v>250</v>
      </c>
      <c r="G7" s="3"/>
      <c r="H7" s="3"/>
      <c r="I7" s="3"/>
      <c r="J7" s="3"/>
      <c r="K7" s="3"/>
      <c r="L7" s="3" t="str">
        <f ca="1">IFERROR(__xludf.DUMMYFUNCTION("""COMPUTED_VALUE"""),"3D pens")</f>
        <v>3D pens</v>
      </c>
      <c r="M7" s="3"/>
      <c r="N7" s="3"/>
      <c r="O7" s="3"/>
      <c r="P7" s="3"/>
      <c r="Q7" s="3" t="str">
        <f ca="1">IFERROR(__xludf.DUMMYFUNCTION("""COMPUTED_VALUE"""),"AASL")</f>
        <v>AASL</v>
      </c>
      <c r="R7" s="3"/>
      <c r="S7" s="3"/>
      <c r="T7" s="3" t="str">
        <f ca="1">IFERROR(__xludf.DUMMYFUNCTION("""COMPUTED_VALUE"""),"Longfellow")</f>
        <v>Longfellow</v>
      </c>
      <c r="U7" s="3"/>
      <c r="V7" s="3"/>
      <c r="W7" s="3"/>
      <c r="X7" s="3"/>
      <c r="Y7" s="3"/>
      <c r="Z7" s="3"/>
      <c r="AA7" s="3"/>
      <c r="AB7" s="3"/>
      <c r="AC7" s="3"/>
    </row>
    <row r="8" spans="1:36" ht="13" x14ac:dyDescent="0.15">
      <c r="A8" s="2">
        <f ca="1">IFERROR(__xludf.DUMMYFUNCTION("""COMPUTED_VALUE"""),45628.3981430208)</f>
        <v>45628.3981430208</v>
      </c>
      <c r="B8" s="3" t="str">
        <f ca="1">IFERROR(__xludf.DUMMYFUNCTION("""COMPUTED_VALUE"""),"mchase2@normanps.org")</f>
        <v>mchase2@normanps.org</v>
      </c>
      <c r="C8" s="3"/>
      <c r="D8" s="3"/>
      <c r="E8" s="3"/>
      <c r="F8" s="6">
        <f ca="1">IFERROR(__xludf.DUMMYFUNCTION("""COMPUTED_VALUE"""),1500)</f>
        <v>1500</v>
      </c>
      <c r="G8" s="3"/>
      <c r="H8" s="3"/>
      <c r="I8" s="3"/>
      <c r="J8" s="3"/>
      <c r="K8" s="3"/>
      <c r="L8" s="3"/>
      <c r="M8" s="3"/>
      <c r="N8" s="3"/>
      <c r="O8" s="3"/>
      <c r="P8" s="3"/>
      <c r="Q8" s="3" t="str">
        <f ca="1">IFERROR(__xludf.DUMMYFUNCTION("""COMPUTED_VALUE"""),"OKSL")</f>
        <v>OKSL</v>
      </c>
      <c r="R8" s="3"/>
      <c r="S8" s="3"/>
      <c r="T8" s="3" t="str">
        <f ca="1">IFERROR(__xludf.DUMMYFUNCTION("""COMPUTED_VALUE"""),"Longfellow")</f>
        <v>Longfellow</v>
      </c>
      <c r="U8" s="3"/>
      <c r="V8" s="3"/>
      <c r="W8" s="3"/>
      <c r="X8" s="3"/>
      <c r="Y8" s="3"/>
      <c r="Z8" s="3"/>
      <c r="AA8" s="3"/>
      <c r="AB8" s="3"/>
      <c r="AC8" s="3"/>
    </row>
    <row r="9" spans="1:36" ht="13" x14ac:dyDescent="0.15">
      <c r="A9" s="2">
        <f ca="1">IFERROR(__xludf.DUMMYFUNCTION("""COMPUTED_VALUE"""),45628.3984848726)</f>
        <v>45628.398484872603</v>
      </c>
      <c r="B9" s="3" t="str">
        <f ca="1">IFERROR(__xludf.DUMMYFUNCTION("""COMPUTED_VALUE"""),"mchase2@normanps.org")</f>
        <v>mchase2@normanps.org</v>
      </c>
      <c r="C9" s="3"/>
      <c r="D9" s="3"/>
      <c r="E9" s="3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 t="str">
        <f ca="1">IFERROR(__xludf.DUMMYFUNCTION("""COMPUTED_VALUE"""),"Longfellow Instructional Leadership Team")</f>
        <v>Longfellow Instructional Leadership Team</v>
      </c>
      <c r="R9" s="3"/>
      <c r="S9" s="3"/>
      <c r="T9" s="3" t="str">
        <f ca="1">IFERROR(__xludf.DUMMYFUNCTION("""COMPUTED_VALUE"""),"Longfellow")</f>
        <v>Longfellow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3" x14ac:dyDescent="0.15">
      <c r="A10" s="2">
        <f ca="1">IFERROR(__xludf.DUMMYFUNCTION("""COMPUTED_VALUE"""),45628.3988163425)</f>
        <v>45628.398816342502</v>
      </c>
      <c r="B10" s="3" t="str">
        <f ca="1">IFERROR(__xludf.DUMMYFUNCTION("""COMPUTED_VALUE"""),"mchase2@normanps.org")</f>
        <v>mchase2@normanps.org</v>
      </c>
      <c r="C10" s="3"/>
      <c r="D10" s="3"/>
      <c r="E10" s="3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tr">
        <f ca="1">IFERROR(__xludf.DUMMYFUNCTION("""COMPUTED_VALUE"""),"Longfellow Climate and Culture Team")</f>
        <v>Longfellow Climate and Culture Team</v>
      </c>
      <c r="R10" s="3"/>
      <c r="S10" s="3"/>
      <c r="T10" s="3" t="str">
        <f ca="1">IFERROR(__xludf.DUMMYFUNCTION("""COMPUTED_VALUE"""),"Longfellow")</f>
        <v>Longfellow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3" x14ac:dyDescent="0.15">
      <c r="A11" s="2">
        <f ca="1">IFERROR(__xludf.DUMMYFUNCTION("""COMPUTED_VALUE"""),45628.4027140046)</f>
        <v>45628.402714004602</v>
      </c>
      <c r="B11" s="3" t="str">
        <f ca="1">IFERROR(__xludf.DUMMYFUNCTION("""COMPUTED_VALUE"""),"mchase2@normanps.org")</f>
        <v>mchase2@normanps.org</v>
      </c>
      <c r="C11" s="3"/>
      <c r="D11" s="3">
        <f ca="1">IFERROR(__xludf.DUMMYFUNCTION("""COMPUTED_VALUE"""),8)</f>
        <v>8</v>
      </c>
      <c r="E11" s="3"/>
      <c r="F11" s="6"/>
      <c r="G11" s="3"/>
      <c r="H11" s="3"/>
      <c r="I11" s="3" t="str">
        <f ca="1">IFERROR(__xludf.DUMMYFUNCTION("""COMPUTED_VALUE"""),"Inquire")</f>
        <v>Inquire</v>
      </c>
      <c r="J11" s="3" t="str">
        <f ca="1">IFERROR(__xludf.DUMMYFUNCTION("""COMPUTED_VALUE"""),"ELA")</f>
        <v>ELA</v>
      </c>
      <c r="K11" s="3" t="str">
        <f ca="1">IFERROR(__xludf.DUMMYFUNCTION("""COMPUTED_VALUE"""),"Sixth")</f>
        <v>Sixth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IFERROR(__xludf.DUMMYFUNCTION("""COMPUTED_VALUE"""),"Longfellow")</f>
        <v>Longfellow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3" x14ac:dyDescent="0.15">
      <c r="A12" s="2">
        <f ca="1">IFERROR(__xludf.DUMMYFUNCTION("""COMPUTED_VALUE"""),45628.403556331)</f>
        <v>45628.403556331003</v>
      </c>
      <c r="B12" s="3" t="str">
        <f ca="1">IFERROR(__xludf.DUMMYFUNCTION("""COMPUTED_VALUE"""),"mchase2@normanps.org")</f>
        <v>mchase2@normanps.org</v>
      </c>
      <c r="C12" s="3"/>
      <c r="D12" s="3">
        <f ca="1">IFERROR(__xludf.DUMMYFUNCTION("""COMPUTED_VALUE"""),8)</f>
        <v>8</v>
      </c>
      <c r="E12" s="3"/>
      <c r="F12" s="6"/>
      <c r="G12" s="3"/>
      <c r="H12" s="3"/>
      <c r="I12" s="3" t="str">
        <f ca="1">IFERROR(__xludf.DUMMYFUNCTION("""COMPUTED_VALUE"""),"Curate")</f>
        <v>Curate</v>
      </c>
      <c r="J12" s="3" t="str">
        <f ca="1">IFERROR(__xludf.DUMMYFUNCTION("""COMPUTED_VALUE"""),"Social Studies")</f>
        <v>Social Studies</v>
      </c>
      <c r="K12" s="3" t="str">
        <f ca="1">IFERROR(__xludf.DUMMYFUNCTION("""COMPUTED_VALUE"""),"Eighth")</f>
        <v>Eighth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IFERROR(__xludf.DUMMYFUNCTION("""COMPUTED_VALUE"""),"Longfellow")</f>
        <v>Longfellow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3" x14ac:dyDescent="0.15">
      <c r="A13" s="2">
        <f ca="1">IFERROR(__xludf.DUMMYFUNCTION("""COMPUTED_VALUE"""),45628.4045888078)</f>
        <v>45628.404588807804</v>
      </c>
      <c r="B13" s="3" t="str">
        <f ca="1">IFERROR(__xludf.DUMMYFUNCTION("""COMPUTED_VALUE"""),"mchase2@normanps.org")</f>
        <v>mchase2@normanps.org</v>
      </c>
      <c r="C13" s="3"/>
      <c r="D13" s="3"/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f ca="1">IFERROR(__xludf.DUMMYFUNCTION("""COMPUTED_VALUE"""),5)</f>
        <v>5</v>
      </c>
      <c r="T13" s="3" t="str">
        <f ca="1">IFERROR(__xludf.DUMMYFUNCTION("""COMPUTED_VALUE"""),"Longfellow")</f>
        <v>Longfellow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3" x14ac:dyDescent="0.15">
      <c r="A14" s="2">
        <f ca="1">IFERROR(__xludf.DUMMYFUNCTION("""COMPUTED_VALUE"""),45628.4054120138)</f>
        <v>45628.405412013803</v>
      </c>
      <c r="B14" s="3" t="str">
        <f ca="1">IFERROR(__xludf.DUMMYFUNCTION("""COMPUTED_VALUE"""),"mchase2@normanps.org")</f>
        <v>mchase2@normanps.org</v>
      </c>
      <c r="C14" s="3"/>
      <c r="D14" s="3"/>
      <c r="E14" s="3"/>
      <c r="F14" s="6"/>
      <c r="G14" s="3"/>
      <c r="H14" s="3">
        <f ca="1">IFERROR(__xludf.DUMMYFUNCTION("""COMPUTED_VALUE"""),35)</f>
        <v>35</v>
      </c>
      <c r="I14" s="3"/>
      <c r="J14" s="3"/>
      <c r="K14" s="3"/>
      <c r="L14" s="3"/>
      <c r="M14" s="3"/>
      <c r="N14" s="3"/>
      <c r="O14" s="3"/>
      <c r="P14" s="3"/>
      <c r="Q14" s="3"/>
      <c r="R14" s="3" t="str">
        <f ca="1">IFERROR(__xludf.DUMMYFUNCTION("""COMPUTED_VALUE"""),"STEAM Night")</f>
        <v>STEAM Night</v>
      </c>
      <c r="S14" s="3"/>
      <c r="T14" s="3" t="str">
        <f ca="1">IFERROR(__xludf.DUMMYFUNCTION("""COMPUTED_VALUE"""),"Longfellow")</f>
        <v>Longfellow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3" x14ac:dyDescent="0.15">
      <c r="A15" s="2">
        <f ca="1">IFERROR(__xludf.DUMMYFUNCTION("""COMPUTED_VALUE"""),45628.406096574)</f>
        <v>45628.406096573999</v>
      </c>
      <c r="B15" s="3" t="str">
        <f ca="1">IFERROR(__xludf.DUMMYFUNCTION("""COMPUTED_VALUE"""),"mchase2@normanps.org")</f>
        <v>mchase2@normanps.org</v>
      </c>
      <c r="C15" s="3"/>
      <c r="D15" s="3"/>
      <c r="E15" s="3"/>
      <c r="F15" s="6"/>
      <c r="G15" s="3"/>
      <c r="H15" s="3"/>
      <c r="I15" s="3"/>
      <c r="J15" s="3"/>
      <c r="K15" s="3"/>
      <c r="L15" s="3" t="str">
        <f ca="1">IFERROR(__xludf.DUMMYFUNCTION("""COMPUTED_VALUE"""),"Button Maker")</f>
        <v>Button Maker</v>
      </c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IFERROR(__xludf.DUMMYFUNCTION("""COMPUTED_VALUE"""),"Longfellow")</f>
        <v>Longfellow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3" x14ac:dyDescent="0.15">
      <c r="A16" s="2">
        <f ca="1">IFERROR(__xludf.DUMMYFUNCTION("""COMPUTED_VALUE"""),45628.4063242245)</f>
        <v>45628.406324224503</v>
      </c>
      <c r="B16" s="3" t="str">
        <f ca="1">IFERROR(__xludf.DUMMYFUNCTION("""COMPUTED_VALUE"""),"mchase2@normanps.org")</f>
        <v>mchase2@normanps.org</v>
      </c>
      <c r="C16" s="3"/>
      <c r="D16" s="3"/>
      <c r="E16" s="3"/>
      <c r="F16" s="6"/>
      <c r="G16" s="3"/>
      <c r="H16" s="3"/>
      <c r="I16" s="3"/>
      <c r="J16" s="3"/>
      <c r="K16" s="3"/>
      <c r="L16" s="3" t="str">
        <f ca="1">IFERROR(__xludf.DUMMYFUNCTION("""COMPUTED_VALUE"""),"Shrinky Dinks")</f>
        <v>Shrinky Dinks</v>
      </c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IFERROR(__xludf.DUMMYFUNCTION("""COMPUTED_VALUE"""),"Longfellow")</f>
        <v>Longfellow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3" x14ac:dyDescent="0.15">
      <c r="A17" s="2">
        <f ca="1">IFERROR(__xludf.DUMMYFUNCTION("""COMPUTED_VALUE"""),45628.4073092129)</f>
        <v>45628.407309212897</v>
      </c>
      <c r="B17" s="3" t="str">
        <f ca="1">IFERROR(__xludf.DUMMYFUNCTION("""COMPUTED_VALUE"""),"mchase2@normanps.org")</f>
        <v>mchase2@normanps.org</v>
      </c>
      <c r="C17" s="3"/>
      <c r="D17" s="3">
        <f ca="1">IFERROR(__xludf.DUMMYFUNCTION("""COMPUTED_VALUE"""),1)</f>
        <v>1</v>
      </c>
      <c r="E17" s="3"/>
      <c r="F17" s="6"/>
      <c r="G17" s="3"/>
      <c r="H17" s="3"/>
      <c r="I17" s="3"/>
      <c r="J17" s="3"/>
      <c r="K17" s="3" t="str">
        <f ca="1">IFERROR(__xludf.DUMMYFUNCTION("""COMPUTED_VALUE"""),"Seventh")</f>
        <v>Seventh</v>
      </c>
      <c r="L17" s="3"/>
      <c r="M17" s="3"/>
      <c r="N17" s="3"/>
      <c r="O17" s="3"/>
      <c r="P17" s="3"/>
      <c r="Q17" s="3"/>
      <c r="R17" s="3"/>
      <c r="S17" s="3">
        <f ca="1">IFERROR(__xludf.DUMMYFUNCTION("""COMPUTED_VALUE"""),2)</f>
        <v>2</v>
      </c>
      <c r="T17" s="3" t="str">
        <f ca="1">IFERROR(__xludf.DUMMYFUNCTION("""COMPUTED_VALUE"""),"Longfellow")</f>
        <v>Longfellow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3" x14ac:dyDescent="0.15">
      <c r="A18" s="2">
        <f ca="1">IFERROR(__xludf.DUMMYFUNCTION("""COMPUTED_VALUE"""),45636.3923621412)</f>
        <v>45636.392362141203</v>
      </c>
      <c r="B18" s="3" t="str">
        <f ca="1">IFERROR(__xludf.DUMMYFUNCTION("""COMPUTED_VALUE"""),"mchase2@normanps.org")</f>
        <v>mchase2@normanps.org</v>
      </c>
      <c r="C18" s="3"/>
      <c r="D18" s="3"/>
      <c r="E18" s="3"/>
      <c r="F18" s="6"/>
      <c r="G18" s="3">
        <f ca="1">IFERROR(__xludf.DUMMYFUNCTION("""COMPUTED_VALUE"""),45)</f>
        <v>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IFERROR(__xludf.DUMMYFUNCTION("""COMPUTED_VALUE"""),"Longfellow")</f>
        <v>Longfellow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3" x14ac:dyDescent="0.15">
      <c r="A19" s="2">
        <f ca="1">IFERROR(__xludf.DUMMYFUNCTION("""COMPUTED_VALUE"""),45636.4070508217)</f>
        <v>45636.407050821697</v>
      </c>
      <c r="B19" s="3" t="str">
        <f ca="1">IFERROR(__xludf.DUMMYFUNCTION("""COMPUTED_VALUE"""),"mchase2@normanps.org")</f>
        <v>mchase2@normanps.org</v>
      </c>
      <c r="C19" s="3"/>
      <c r="D19" s="3"/>
      <c r="E19" s="3"/>
      <c r="F19" s="6"/>
      <c r="G19" s="3">
        <f ca="1">IFERROR(__xludf.DUMMYFUNCTION("""COMPUTED_VALUE"""),92)</f>
        <v>92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IFERROR(__xludf.DUMMYFUNCTION("""COMPUTED_VALUE"""),"Longfellow")</f>
        <v>Longfellow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3" x14ac:dyDescent="0.15">
      <c r="A20" s="2">
        <f ca="1">IFERROR(__xludf.DUMMYFUNCTION("""COMPUTED_VALUE"""),45636.4081284606)</f>
        <v>45636.4081284606</v>
      </c>
      <c r="B20" s="3" t="str">
        <f ca="1">IFERROR(__xludf.DUMMYFUNCTION("""COMPUTED_VALUE"""),"mchase2@normanps.org")</f>
        <v>mchase2@normanps.org</v>
      </c>
      <c r="C20" s="3"/>
      <c r="D20" s="3"/>
      <c r="E20" s="3"/>
      <c r="F20" s="6"/>
      <c r="G20" s="3"/>
      <c r="H20" s="3"/>
      <c r="I20" s="3"/>
      <c r="J20" s="3"/>
      <c r="K20" s="3"/>
      <c r="L20" s="3" t="str">
        <f ca="1">IFERROR(__xludf.DUMMYFUNCTION("""COMPUTED_VALUE"""),"Friendship Bracelets")</f>
        <v>Friendship Bracelets</v>
      </c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IFERROR(__xludf.DUMMYFUNCTION("""COMPUTED_VALUE"""),"Longfellow")</f>
        <v>Longfellow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3" x14ac:dyDescent="0.15">
      <c r="A21" s="2">
        <f ca="1">IFERROR(__xludf.DUMMYFUNCTION("""COMPUTED_VALUE"""),45636.4143747685)</f>
        <v>45636.414374768501</v>
      </c>
      <c r="B21" s="3" t="str">
        <f ca="1">IFERROR(__xludf.DUMMYFUNCTION("""COMPUTED_VALUE"""),"mchase2@normanps.org")</f>
        <v>mchase2@normanps.org</v>
      </c>
      <c r="C21" s="3"/>
      <c r="D21" s="3"/>
      <c r="E21" s="3"/>
      <c r="F21" s="6"/>
      <c r="G21" s="3"/>
      <c r="H21" s="3">
        <f ca="1">IFERROR(__xludf.DUMMYFUNCTION("""COMPUTED_VALUE"""),5)</f>
        <v>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str">
        <f ca="1">IFERROR(__xludf.DUMMYFUNCTION("""COMPUTED_VALUE"""),"Longfellow")</f>
        <v>Longfellow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3" x14ac:dyDescent="0.15">
      <c r="A22" s="2">
        <f ca="1">IFERROR(__xludf.DUMMYFUNCTION("""COMPUTED_VALUE"""),45636.4163955555)</f>
        <v>45636.416395555498</v>
      </c>
      <c r="B22" s="3" t="str">
        <f ca="1">IFERROR(__xludf.DUMMYFUNCTION("""COMPUTED_VALUE"""),"mchase2@normanps.org")</f>
        <v>mchase2@normanps.org</v>
      </c>
      <c r="C22" s="3"/>
      <c r="D22" s="3">
        <f ca="1">IFERROR(__xludf.DUMMYFUNCTION("""COMPUTED_VALUE"""),10)</f>
        <v>10</v>
      </c>
      <c r="E22" s="3"/>
      <c r="F22" s="6"/>
      <c r="G22" s="3"/>
      <c r="H22" s="3"/>
      <c r="I22" s="3" t="str">
        <f ca="1">IFERROR(__xludf.DUMMYFUNCTION("""COMPUTED_VALUE"""),"Explore")</f>
        <v>Explore</v>
      </c>
      <c r="J22" s="3" t="str">
        <f ca="1">IFERROR(__xludf.DUMMYFUNCTION("""COMPUTED_VALUE"""),"ELA")</f>
        <v>ELA</v>
      </c>
      <c r="K22" s="3" t="str">
        <f ca="1">IFERROR(__xludf.DUMMYFUNCTION("""COMPUTED_VALUE"""),"Autism/SPED multi-level middle school")</f>
        <v>Autism/SPED multi-level middle school</v>
      </c>
      <c r="L22" s="3"/>
      <c r="M22" s="3"/>
      <c r="N22" s="3"/>
      <c r="O22" s="3"/>
      <c r="P22" s="3"/>
      <c r="Q22" s="3"/>
      <c r="R22" s="3"/>
      <c r="S22" s="3"/>
      <c r="T22" s="3" t="str">
        <f ca="1">IFERROR(__xludf.DUMMYFUNCTION("""COMPUTED_VALUE"""),"Longfellow")</f>
        <v>Longfellow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3" x14ac:dyDescent="0.15">
      <c r="A23" s="2">
        <f ca="1">IFERROR(__xludf.DUMMYFUNCTION("""COMPUTED_VALUE"""),45636.4181089236)</f>
        <v>45636.418108923601</v>
      </c>
      <c r="B23" s="3" t="str">
        <f ca="1">IFERROR(__xludf.DUMMYFUNCTION("""COMPUTED_VALUE"""),"mchase2@normanps.org")</f>
        <v>mchase2@normanps.org</v>
      </c>
      <c r="C23" s="3"/>
      <c r="D23" s="3"/>
      <c r="E23" s="3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 t="str">
        <f ca="1">IFERROR(__xludf.DUMMYFUNCTION("""COMPUTED_VALUE"""),"STEM Tank")</f>
        <v>STEM Tank</v>
      </c>
      <c r="S23" s="3"/>
      <c r="T23" s="3" t="str">
        <f ca="1">IFERROR(__xludf.DUMMYFUNCTION("""COMPUTED_VALUE"""),"Longfellow")</f>
        <v>Longfellow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3" x14ac:dyDescent="0.15">
      <c r="A24" s="2">
        <f ca="1">IFERROR(__xludf.DUMMYFUNCTION("""COMPUTED_VALUE"""),45636.4282212615)</f>
        <v>45636.4282212615</v>
      </c>
      <c r="B24" s="3" t="str">
        <f ca="1">IFERROR(__xludf.DUMMYFUNCTION("""COMPUTED_VALUE"""),"mchase2@normanps.org")</f>
        <v>mchase2@normanps.org</v>
      </c>
      <c r="C24" s="3"/>
      <c r="D24" s="3"/>
      <c r="E24" s="3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tr">
        <f ca="1">IFERROR(__xludf.DUMMYFUNCTION("""COMPUTED_VALUE"""),"OKSL")</f>
        <v>OKSL</v>
      </c>
      <c r="R24" s="3"/>
      <c r="S24" s="3"/>
      <c r="T24" s="3" t="str">
        <f ca="1">IFERROR(__xludf.DUMMYFUNCTION("""COMPUTED_VALUE"""),"Longfellow")</f>
        <v>Longfellow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3" x14ac:dyDescent="0.15">
      <c r="A25" s="2">
        <f ca="1">IFERROR(__xludf.DUMMYFUNCTION("""COMPUTED_VALUE"""),45636.4286277314)</f>
        <v>45636.428627731402</v>
      </c>
      <c r="B25" s="3" t="str">
        <f ca="1">IFERROR(__xludf.DUMMYFUNCTION("""COMPUTED_VALUE"""),"mchase2@normanps.org")</f>
        <v>mchase2@normanps.org</v>
      </c>
      <c r="C25" s="3"/>
      <c r="D25" s="3"/>
      <c r="E25" s="3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tr">
        <f ca="1">IFERROR(__xludf.DUMMYFUNCTION("""COMPUTED_VALUE"""),"Longfellow Instructional Leadership Team")</f>
        <v>Longfellow Instructional Leadership Team</v>
      </c>
      <c r="R25" s="3"/>
      <c r="S25" s="3"/>
      <c r="T25" s="3" t="str">
        <f ca="1">IFERROR(__xludf.DUMMYFUNCTION("""COMPUTED_VALUE"""),"Longfellow")</f>
        <v>Longfellow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3" x14ac:dyDescent="0.15">
      <c r="A26" s="2">
        <f ca="1">IFERROR(__xludf.DUMMYFUNCTION("""COMPUTED_VALUE"""),45636.6081570138)</f>
        <v>45636.608157013798</v>
      </c>
      <c r="B26" s="3" t="str">
        <f ca="1">IFERROR(__xludf.DUMMYFUNCTION("""COMPUTED_VALUE"""),"mchase2@normanps.org")</f>
        <v>mchase2@normanps.org</v>
      </c>
      <c r="C26" s="3"/>
      <c r="D26" s="3"/>
      <c r="E26" s="3"/>
      <c r="F26" s="6"/>
      <c r="G26" s="3"/>
      <c r="H26" s="3">
        <f ca="1">IFERROR(__xludf.DUMMYFUNCTION("""COMPUTED_VALUE"""),2)</f>
        <v>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IFERROR(__xludf.DUMMYFUNCTION("""COMPUTED_VALUE"""),"Longfellow")</f>
        <v>Longfellow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3" x14ac:dyDescent="0.15">
      <c r="A27" s="2">
        <f ca="1">IFERROR(__xludf.DUMMYFUNCTION("""COMPUTED_VALUE"""),45644.5443703356)</f>
        <v>45644.5443703356</v>
      </c>
      <c r="B27" s="3" t="str">
        <f ca="1">IFERROR(__xludf.DUMMYFUNCTION("""COMPUTED_VALUE"""),"sschrank@normanps.org")</f>
        <v>sschrank@normanps.org</v>
      </c>
      <c r="C27" s="3">
        <f ca="1">IFERROR(__xludf.DUMMYFUNCTION("""COMPUTED_VALUE"""),551)</f>
        <v>551</v>
      </c>
      <c r="D27" s="3"/>
      <c r="E27" s="3"/>
      <c r="F27" s="6"/>
      <c r="G27" s="3"/>
      <c r="H27" s="3"/>
      <c r="I27" s="3"/>
      <c r="J27" s="3"/>
      <c r="K27" s="3"/>
      <c r="L27" s="3"/>
      <c r="M27" s="3"/>
      <c r="N27" s="3">
        <f ca="1">IFERROR(__xludf.DUMMYFUNCTION("""COMPUTED_VALUE"""),211)</f>
        <v>211</v>
      </c>
      <c r="O27" s="3"/>
      <c r="P27" s="3"/>
      <c r="Q27" s="3"/>
      <c r="R27" s="3"/>
      <c r="S27" s="3"/>
      <c r="T27" s="3" t="str">
        <f ca="1">IFERROR(__xludf.DUMMYFUNCTION("""COMPUTED_VALUE"""),"Longfellow")</f>
        <v>Longfellow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3" x14ac:dyDescent="0.15">
      <c r="A28" s="2">
        <f ca="1">IFERROR(__xludf.DUMMYFUNCTION("""COMPUTED_VALUE"""),45645.4810129282)</f>
        <v>45645.481012928198</v>
      </c>
      <c r="B28" s="3" t="str">
        <f ca="1">IFERROR(__xludf.DUMMYFUNCTION("""COMPUTED_VALUE"""),"mchase2@normanps.org")</f>
        <v>mchase2@normanps.org</v>
      </c>
      <c r="C28" s="3"/>
      <c r="D28" s="3">
        <f ca="1">IFERROR(__xludf.DUMMYFUNCTION("""COMPUTED_VALUE"""),4)</f>
        <v>4</v>
      </c>
      <c r="E28" s="3"/>
      <c r="F28" s="6"/>
      <c r="G28" s="3">
        <f ca="1">IFERROR(__xludf.DUMMYFUNCTION("""COMPUTED_VALUE"""),2)</f>
        <v>2</v>
      </c>
      <c r="H28" s="3"/>
      <c r="I28" s="3" t="str">
        <f ca="1">IFERROR(__xludf.DUMMYFUNCTION("""COMPUTED_VALUE"""),"Collaborate")</f>
        <v>Collaborate</v>
      </c>
      <c r="J28" s="3" t="str">
        <f ca="1">IFERROR(__xludf.DUMMYFUNCTION("""COMPUTED_VALUE"""),"Social Studies")</f>
        <v>Social Studies</v>
      </c>
      <c r="K28" s="3" t="str">
        <f ca="1">IFERROR(__xludf.DUMMYFUNCTION("""COMPUTED_VALUE"""),"Eighth")</f>
        <v>Eighth</v>
      </c>
      <c r="L28" s="3"/>
      <c r="M28" s="3"/>
      <c r="N28" s="3"/>
      <c r="O28" s="3"/>
      <c r="P28" s="3"/>
      <c r="Q28" s="3" t="str">
        <f ca="1">IFERROR(__xludf.DUMMYFUNCTION("""COMPUTED_VALUE"""),"AASL")</f>
        <v>AASL</v>
      </c>
      <c r="R28" s="3"/>
      <c r="S28" s="3">
        <f ca="1">IFERROR(__xludf.DUMMYFUNCTION("""COMPUTED_VALUE"""),1)</f>
        <v>1</v>
      </c>
      <c r="T28" s="3" t="str">
        <f ca="1">IFERROR(__xludf.DUMMYFUNCTION("""COMPUTED_VALUE"""),"Longfellow")</f>
        <v>Longfellow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3" x14ac:dyDescent="0.15">
      <c r="A29" s="2">
        <f ca="1">IFERROR(__xludf.DUMMYFUNCTION("""COMPUTED_VALUE"""),45645.4812509606)</f>
        <v>45645.481250960598</v>
      </c>
      <c r="B29" s="3" t="str">
        <f ca="1">IFERROR(__xludf.DUMMYFUNCTION("""COMPUTED_VALUE"""),"mchase2@normanps.org")</f>
        <v>mchase2@normanps.org</v>
      </c>
      <c r="C29" s="3"/>
      <c r="D29" s="3"/>
      <c r="E29" s="3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 t="str">
        <f ca="1">IFERROR(__xludf.DUMMYFUNCTION("""COMPUTED_VALUE"""),"OKSL")</f>
        <v>OKSL</v>
      </c>
      <c r="R29" s="3"/>
      <c r="S29" s="3"/>
      <c r="T29" s="3" t="str">
        <f ca="1">IFERROR(__xludf.DUMMYFUNCTION("""COMPUTED_VALUE"""),"Longfellow")</f>
        <v>Longfellow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3" x14ac:dyDescent="0.15">
      <c r="A30" s="2">
        <f ca="1">IFERROR(__xludf.DUMMYFUNCTION("""COMPUTED_VALUE"""),45645.4816975347)</f>
        <v>45645.481697534698</v>
      </c>
      <c r="B30" s="3" t="str">
        <f ca="1">IFERROR(__xludf.DUMMYFUNCTION("""COMPUTED_VALUE"""),"mchase2@normanps.org")</f>
        <v>mchase2@normanps.org</v>
      </c>
      <c r="C30" s="3"/>
      <c r="D30" s="3"/>
      <c r="E30" s="3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 t="str">
        <f ca="1">IFERROR(__xludf.DUMMYFUNCTION("""COMPUTED_VALUE"""),"JEA")</f>
        <v>JEA</v>
      </c>
      <c r="R30" s="3"/>
      <c r="S30" s="3"/>
      <c r="T30" s="3" t="str">
        <f ca="1">IFERROR(__xludf.DUMMYFUNCTION("""COMPUTED_VALUE"""),"Longfellow")</f>
        <v>Longfellow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3" x14ac:dyDescent="0.15">
      <c r="A31" s="2">
        <f ca="1">IFERROR(__xludf.DUMMYFUNCTION("""COMPUTED_VALUE"""),45672.3479027314)</f>
        <v>45672.347902731402</v>
      </c>
      <c r="B31" s="3" t="str">
        <f ca="1">IFERROR(__xludf.DUMMYFUNCTION("""COMPUTED_VALUE"""),"sschrank@normanps.org")</f>
        <v>sschrank@normanps.org</v>
      </c>
      <c r="C31" s="3">
        <f ca="1">IFERROR(__xludf.DUMMYFUNCTION("""COMPUTED_VALUE"""),172)</f>
        <v>172</v>
      </c>
      <c r="D31" s="3"/>
      <c r="E31" s="3"/>
      <c r="F31" s="6"/>
      <c r="G31" s="3"/>
      <c r="H31" s="3"/>
      <c r="I31" s="3"/>
      <c r="J31" s="3"/>
      <c r="K31" s="3"/>
      <c r="L31" s="3"/>
      <c r="M31" s="3"/>
      <c r="N31" s="3">
        <f ca="1">IFERROR(__xludf.DUMMYFUNCTION("""COMPUTED_VALUE"""),81)</f>
        <v>81</v>
      </c>
      <c r="O31" s="3"/>
      <c r="P31" s="3"/>
      <c r="Q31" s="3"/>
      <c r="R31" s="3"/>
      <c r="S31" s="3"/>
      <c r="T31" s="3" t="str">
        <f ca="1">IFERROR(__xludf.DUMMYFUNCTION("""COMPUTED_VALUE"""),"Longfellow")</f>
        <v>Longfellow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3" x14ac:dyDescent="0.15">
      <c r="A32" s="2">
        <f ca="1">IFERROR(__xludf.DUMMYFUNCTION("""COMPUTED_VALUE"""),45678.51114853)</f>
        <v>45678.51114853</v>
      </c>
      <c r="B32" s="3" t="str">
        <f ca="1">IFERROR(__xludf.DUMMYFUNCTION("""COMPUTED_VALUE"""),"mchase2@normanps.org")</f>
        <v>mchase2@normanps.org</v>
      </c>
      <c r="C32" s="3"/>
      <c r="D32" s="3"/>
      <c r="E32" s="3"/>
      <c r="F32" s="6"/>
      <c r="G32" s="3">
        <f ca="1">IFERROR(__xludf.DUMMYFUNCTION("""COMPUTED_VALUE"""),2)</f>
        <v>2</v>
      </c>
      <c r="H32" s="3"/>
      <c r="I32" s="3"/>
      <c r="J32" s="3"/>
      <c r="K32" s="3"/>
      <c r="L32" s="3"/>
      <c r="M32" s="3"/>
      <c r="N32" s="3"/>
      <c r="O32" s="3"/>
      <c r="P32" s="3"/>
      <c r="Q32" s="3" t="str">
        <f ca="1">IFERROR(__xludf.DUMMYFUNCTION("""COMPUTED_VALUE"""),"AASL")</f>
        <v>AASL</v>
      </c>
      <c r="R32" s="3"/>
      <c r="S32" s="3"/>
      <c r="T32" s="3" t="str">
        <f ca="1">IFERROR(__xludf.DUMMYFUNCTION("""COMPUTED_VALUE"""),"Longfellow")</f>
        <v>Longfellow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15">
      <c r="A33" s="2">
        <f ca="1">IFERROR(__xludf.DUMMYFUNCTION("""COMPUTED_VALUE"""),45678.5139412152)</f>
        <v>45678.513941215198</v>
      </c>
      <c r="B33" s="3" t="str">
        <f ca="1">IFERROR(__xludf.DUMMYFUNCTION("""COMPUTED_VALUE"""),"mchase2@normanps.org")</f>
        <v>mchase2@normanps.org</v>
      </c>
      <c r="C33" s="3"/>
      <c r="D33" s="3"/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 t="str">
        <f ca="1">IFERROR(__xludf.DUMMYFUNCTION("""COMPUTED_VALUE"""),"OKSL")</f>
        <v>OKSL</v>
      </c>
      <c r="R33" s="3"/>
      <c r="S33" s="3"/>
      <c r="T33" s="3" t="str">
        <f ca="1">IFERROR(__xludf.DUMMYFUNCTION("""COMPUTED_VALUE"""),"Longfellow")</f>
        <v>Longfellow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15">
      <c r="A34" s="2">
        <f ca="1">IFERROR(__xludf.DUMMYFUNCTION("""COMPUTED_VALUE"""),45680.3931202546)</f>
        <v>45680.393120254601</v>
      </c>
      <c r="B34" s="3" t="str">
        <f ca="1">IFERROR(__xludf.DUMMYFUNCTION("""COMPUTED_VALUE"""),"mchase2@normanps.org")</f>
        <v>mchase2@normanps.org</v>
      </c>
      <c r="C34" s="3"/>
      <c r="D34" s="3"/>
      <c r="E34" s="3"/>
      <c r="F34" s="6"/>
      <c r="G34" s="3">
        <f ca="1">IFERROR(__xludf.DUMMYFUNCTION("""COMPUTED_VALUE"""),2)</f>
        <v>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tr">
        <f ca="1">IFERROR(__xludf.DUMMYFUNCTION("""COMPUTED_VALUE"""),"Longfellow")</f>
        <v>Longfellow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15">
      <c r="A35" s="2">
        <f ca="1">IFERROR(__xludf.DUMMYFUNCTION("""COMPUTED_VALUE"""),45693.4859566782)</f>
        <v>45693.485956678203</v>
      </c>
      <c r="B35" s="3" t="str">
        <f ca="1">IFERROR(__xludf.DUMMYFUNCTION("""COMPUTED_VALUE"""),"sschrank@normanps.org")</f>
        <v>sschrank@normanps.org</v>
      </c>
      <c r="C35" s="3">
        <f ca="1">IFERROR(__xludf.DUMMYFUNCTION("""COMPUTED_VALUE"""),247)</f>
        <v>247</v>
      </c>
      <c r="D35" s="3"/>
      <c r="E35" s="3"/>
      <c r="F35" s="6"/>
      <c r="G35" s="3"/>
      <c r="H35" s="3"/>
      <c r="I35" s="3"/>
      <c r="J35" s="3"/>
      <c r="K35" s="3"/>
      <c r="L35" s="3"/>
      <c r="M35" s="3"/>
      <c r="N35" s="3">
        <f ca="1">IFERROR(__xludf.DUMMYFUNCTION("""COMPUTED_VALUE"""),68)</f>
        <v>68</v>
      </c>
      <c r="O35" s="3"/>
      <c r="P35" s="3"/>
      <c r="Q35" s="3"/>
      <c r="R35" s="3"/>
      <c r="S35" s="3"/>
      <c r="T35" s="3" t="str">
        <f ca="1">IFERROR(__xludf.DUMMYFUNCTION("""COMPUTED_VALUE"""),"Longfellow")</f>
        <v>Longfellow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15">
      <c r="A36" s="2">
        <f ca="1">IFERROR(__xludf.DUMMYFUNCTION("""COMPUTED_VALUE"""),45723.4151333217)</f>
        <v>45723.415133321701</v>
      </c>
      <c r="B36" s="3" t="str">
        <f ca="1">IFERROR(__xludf.DUMMYFUNCTION("""COMPUTED_VALUE"""),"mchase2@normanps.org")</f>
        <v>mchase2@normanps.org</v>
      </c>
      <c r="C36" s="3"/>
      <c r="D36" s="3">
        <f ca="1">IFERROR(__xludf.DUMMYFUNCTION("""COMPUTED_VALUE"""),40)</f>
        <v>40</v>
      </c>
      <c r="E36" s="3"/>
      <c r="F36" s="6"/>
      <c r="G36" s="3"/>
      <c r="H36" s="3">
        <f ca="1">IFERROR(__xludf.DUMMYFUNCTION("""COMPUTED_VALUE"""),20)</f>
        <v>20</v>
      </c>
      <c r="I36" s="3"/>
      <c r="J36" s="3" t="str">
        <f ca="1">IFERROR(__xludf.DUMMYFUNCTION("""COMPUTED_VALUE"""),"ELA")</f>
        <v>ELA</v>
      </c>
      <c r="K36" s="3" t="str">
        <f ca="1">IFERROR(__xludf.DUMMYFUNCTION("""COMPUTED_VALUE"""),"Seventh")</f>
        <v>Seventh</v>
      </c>
      <c r="L36" s="3"/>
      <c r="M36" s="3"/>
      <c r="N36" s="3"/>
      <c r="O36" s="3"/>
      <c r="P36" s="3"/>
      <c r="Q36" s="3"/>
      <c r="R36" s="3"/>
      <c r="S36" s="3">
        <f ca="1">IFERROR(__xludf.DUMMYFUNCTION("""COMPUTED_VALUE"""),1)</f>
        <v>1</v>
      </c>
      <c r="T36" s="3" t="str">
        <f ca="1">IFERROR(__xludf.DUMMYFUNCTION("""COMPUTED_VALUE"""),"Longfellow")</f>
        <v>Longfellow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15">
      <c r="A37" s="2">
        <f ca="1">IFERROR(__xludf.DUMMYFUNCTION("""COMPUTED_VALUE"""),45723.415709375)</f>
        <v>45723.415709374996</v>
      </c>
      <c r="B37" s="3" t="str">
        <f ca="1">IFERROR(__xludf.DUMMYFUNCTION("""COMPUTED_VALUE"""),"mchase2@normanps.org")</f>
        <v>mchase2@normanps.org</v>
      </c>
      <c r="C37" s="3"/>
      <c r="D37" s="3"/>
      <c r="E37" s="3"/>
      <c r="F37" s="6"/>
      <c r="G37" s="3"/>
      <c r="H37" s="3"/>
      <c r="I37" s="3"/>
      <c r="J37" s="3" t="str">
        <f ca="1">IFERROR(__xludf.DUMMYFUNCTION("""COMPUTED_VALUE"""),"Social Studies")</f>
        <v>Social Studies</v>
      </c>
      <c r="K37" s="3" t="str">
        <f ca="1">IFERROR(__xludf.DUMMYFUNCTION("""COMPUTED_VALUE"""),"Eighth")</f>
        <v>Eighth</v>
      </c>
      <c r="L37" s="3"/>
      <c r="M37" s="3"/>
      <c r="N37" s="3"/>
      <c r="O37" s="3"/>
      <c r="P37" s="3"/>
      <c r="Q37" s="3"/>
      <c r="R37" s="3"/>
      <c r="S37" s="3"/>
      <c r="T37" s="3" t="str">
        <f ca="1">IFERROR(__xludf.DUMMYFUNCTION("""COMPUTED_VALUE"""),"Longfellow")</f>
        <v>Longfellow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15">
      <c r="A38" s="2">
        <f ca="1">IFERROR(__xludf.DUMMYFUNCTION("""COMPUTED_VALUE"""),45723.4161509027)</f>
        <v>45723.416150902704</v>
      </c>
      <c r="B38" s="3" t="str">
        <f ca="1">IFERROR(__xludf.DUMMYFUNCTION("""COMPUTED_VALUE"""),"mchase2@normanps.org")</f>
        <v>mchase2@normanps.org</v>
      </c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str">
        <f ca="1">IFERROR(__xludf.DUMMYFUNCTION("""COMPUTED_VALUE"""),"4")</f>
        <v>4</v>
      </c>
      <c r="R38" s="3"/>
      <c r="S38" s="3"/>
      <c r="T38" s="3" t="str">
        <f ca="1">IFERROR(__xludf.DUMMYFUNCTION("""COMPUTED_VALUE"""),"Longfellow")</f>
        <v>Longfellow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15">
      <c r="A39" s="2">
        <f ca="1">IFERROR(__xludf.DUMMYFUNCTION("""COMPUTED_VALUE"""),45723.418426412)</f>
        <v>45723.418426411998</v>
      </c>
      <c r="B39" s="3" t="str">
        <f ca="1">IFERROR(__xludf.DUMMYFUNCTION("""COMPUTED_VALUE"""),"mchase2@normanps.org")</f>
        <v>mchase2@normanps.org</v>
      </c>
      <c r="C39" s="3"/>
      <c r="D39" s="3"/>
      <c r="E39" s="3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 t="str">
        <f ca="1">IFERROR(__xludf.DUMMYFUNCTION("""COMPUTED_VALUE"""),"OKSL")</f>
        <v>OKSL</v>
      </c>
      <c r="R39" s="3"/>
      <c r="S39" s="3"/>
      <c r="T39" s="3" t="str">
        <f ca="1">IFERROR(__xludf.DUMMYFUNCTION("""COMPUTED_VALUE"""),"Longfellow")</f>
        <v>Longfellow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15">
      <c r="A40" s="2">
        <f ca="1">IFERROR(__xludf.DUMMYFUNCTION("""COMPUTED_VALUE"""),45723.4188211574)</f>
        <v>45723.4188211574</v>
      </c>
      <c r="B40" s="3" t="str">
        <f ca="1">IFERROR(__xludf.DUMMYFUNCTION("""COMPUTED_VALUE"""),"mchase2@normanps.org")</f>
        <v>mchase2@normanps.org</v>
      </c>
      <c r="C40" s="3"/>
      <c r="D40" s="3"/>
      <c r="E40" s="3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str">
        <f ca="1">IFERROR(__xludf.DUMMYFUNCTION("""COMPUTED_VALUE"""),"AASL")</f>
        <v>AASL</v>
      </c>
      <c r="R40" s="3"/>
      <c r="S40" s="3"/>
      <c r="T40" s="3" t="str">
        <f ca="1">IFERROR(__xludf.DUMMYFUNCTION("""COMPUTED_VALUE"""),"Longfellow")</f>
        <v>Longfellow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3" x14ac:dyDescent="0.15">
      <c r="A41" s="2">
        <f ca="1">IFERROR(__xludf.DUMMYFUNCTION("""COMPUTED_VALUE"""),45723.4191056481)</f>
        <v>45723.4191056481</v>
      </c>
      <c r="B41" s="3" t="str">
        <f ca="1">IFERROR(__xludf.DUMMYFUNCTION("""COMPUTED_VALUE"""),"mchase2@normanps.org")</f>
        <v>mchase2@normanps.org</v>
      </c>
      <c r="C41" s="3"/>
      <c r="D41" s="3"/>
      <c r="E41" s="3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 t="str">
        <f ca="1">IFERROR(__xludf.DUMMYFUNCTION("""COMPUTED_VALUE"""),"OKSL")</f>
        <v>OKSL</v>
      </c>
      <c r="R41" s="3"/>
      <c r="S41" s="3"/>
      <c r="T41" s="3" t="str">
        <f ca="1">IFERROR(__xludf.DUMMYFUNCTION("""COMPUTED_VALUE"""),"Longfellow")</f>
        <v>Longfellow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3" x14ac:dyDescent="0.15">
      <c r="A42" s="2">
        <f ca="1">IFERROR(__xludf.DUMMYFUNCTION("""COMPUTED_VALUE"""),45723.4203217708)</f>
        <v>45723.420321770798</v>
      </c>
      <c r="B42" s="3" t="str">
        <f ca="1">IFERROR(__xludf.DUMMYFUNCTION("""COMPUTED_VALUE"""),"mchase2@normanps.org")</f>
        <v>mchase2@normanps.org</v>
      </c>
      <c r="C42" s="3"/>
      <c r="D42" s="3"/>
      <c r="E42" s="3"/>
      <c r="F42" s="6"/>
      <c r="G42" s="3"/>
      <c r="H42" s="3"/>
      <c r="I42" s="3" t="str">
        <f ca="1">IFERROR(__xludf.DUMMYFUNCTION("""COMPUTED_VALUE"""),"Collaborate")</f>
        <v>Collaborate</v>
      </c>
      <c r="J42" s="3"/>
      <c r="K42" s="3"/>
      <c r="L42" s="3"/>
      <c r="M42" s="3"/>
      <c r="N42" s="3"/>
      <c r="O42" s="3"/>
      <c r="P42" s="3"/>
      <c r="Q42" s="3" t="str">
        <f ca="1">IFERROR(__xludf.DUMMYFUNCTION("""COMPUTED_VALUE"""),"AASL")</f>
        <v>AASL</v>
      </c>
      <c r="R42" s="3"/>
      <c r="S42" s="3"/>
      <c r="T42" s="3" t="str">
        <f ca="1">IFERROR(__xludf.DUMMYFUNCTION("""COMPUTED_VALUE"""),"Longfellow")</f>
        <v>Longfellow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3" x14ac:dyDescent="0.15">
      <c r="A43" s="2">
        <f ca="1">IFERROR(__xludf.DUMMYFUNCTION("""COMPUTED_VALUE"""),45723.420568125)</f>
        <v>45723.420568125002</v>
      </c>
      <c r="B43" s="3" t="str">
        <f ca="1">IFERROR(__xludf.DUMMYFUNCTION("""COMPUTED_VALUE"""),"mchase2@normanps.org")</f>
        <v>mchase2@normanps.org</v>
      </c>
      <c r="C43" s="3"/>
      <c r="D43" s="3"/>
      <c r="E43" s="3"/>
      <c r="F43" s="6"/>
      <c r="G43" s="3"/>
      <c r="H43" s="3"/>
      <c r="I43" s="3" t="str">
        <f ca="1">IFERROR(__xludf.DUMMYFUNCTION("""COMPUTED_VALUE"""),"Curate")</f>
        <v>Curate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 t="str">
        <f ca="1">IFERROR(__xludf.DUMMYFUNCTION("""COMPUTED_VALUE"""),"Longfellow")</f>
        <v>Longfellow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3" x14ac:dyDescent="0.15">
      <c r="A44" s="2">
        <f ca="1">IFERROR(__xludf.DUMMYFUNCTION("""COMPUTED_VALUE"""),45723.4209606481)</f>
        <v>45723.420960648102</v>
      </c>
      <c r="B44" s="3" t="str">
        <f ca="1">IFERROR(__xludf.DUMMYFUNCTION("""COMPUTED_VALUE"""),"mchase2@normanps.org")</f>
        <v>mchase2@normanps.org</v>
      </c>
      <c r="C44" s="3"/>
      <c r="D44" s="3"/>
      <c r="E44" s="3"/>
      <c r="F44" s="6"/>
      <c r="G44" s="3"/>
      <c r="H44" s="3"/>
      <c r="I44" s="3" t="str">
        <f ca="1">IFERROR(__xludf.DUMMYFUNCTION("""COMPUTED_VALUE"""),"Engage")</f>
        <v>Engage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 t="str">
        <f ca="1">IFERROR(__xludf.DUMMYFUNCTION("""COMPUTED_VALUE"""),"Longfellow")</f>
        <v>Longfellow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3" x14ac:dyDescent="0.15">
      <c r="A45" s="2">
        <f ca="1">IFERROR(__xludf.DUMMYFUNCTION("""COMPUTED_VALUE"""),45723.4214192708)</f>
        <v>45723.421419270802</v>
      </c>
      <c r="B45" s="3" t="str">
        <f ca="1">IFERROR(__xludf.DUMMYFUNCTION("""COMPUTED_VALUE"""),"mchase2@normanps.org")</f>
        <v>mchase2@normanps.org</v>
      </c>
      <c r="C45" s="3"/>
      <c r="D45" s="3"/>
      <c r="E45" s="3"/>
      <c r="F45" s="6"/>
      <c r="G45" s="3"/>
      <c r="H45" s="3"/>
      <c r="I45" s="3" t="str">
        <f ca="1">IFERROR(__xludf.DUMMYFUNCTION("""COMPUTED_VALUE"""),"Engage")</f>
        <v>Engage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 t="str">
        <f ca="1">IFERROR(__xludf.DUMMYFUNCTION("""COMPUTED_VALUE"""),"Longfellow")</f>
        <v>Longfellow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3" x14ac:dyDescent="0.15">
      <c r="A46" s="2">
        <f ca="1">IFERROR(__xludf.DUMMYFUNCTION("""COMPUTED_VALUE"""),45540.5974305555)</f>
        <v>45540.597430555499</v>
      </c>
      <c r="B46" s="3" t="str">
        <f ca="1">IFERROR(__xludf.DUMMYFUNCTION("""COMPUTED_VALUE"""),"akordelis2@normanps.org")</f>
        <v>akordelis2@normanps.org</v>
      </c>
      <c r="C46" s="3">
        <f ca="1">IFERROR(__xludf.DUMMYFUNCTION("""COMPUTED_VALUE"""),1)</f>
        <v>1</v>
      </c>
      <c r="D46" s="3">
        <f ca="1">IFERROR(__xludf.DUMMYFUNCTION("""COMPUTED_VALUE"""),1)</f>
        <v>1</v>
      </c>
      <c r="E46" s="3">
        <f ca="1">IFERROR(__xludf.DUMMYFUNCTION("""COMPUTED_VALUE"""),1)</f>
        <v>1</v>
      </c>
      <c r="F46" s="6">
        <f ca="1">IFERROR(__xludf.DUMMYFUNCTION("""COMPUTED_VALUE"""),1)</f>
        <v>1</v>
      </c>
      <c r="G46" s="3">
        <f ca="1">IFERROR(__xludf.DUMMYFUNCTION("""COMPUTED_VALUE"""),1)</f>
        <v>1</v>
      </c>
      <c r="H46" s="3">
        <f ca="1">IFERROR(__xludf.DUMMYFUNCTION("""COMPUTED_VALUE"""),1)</f>
        <v>1</v>
      </c>
      <c r="I46" s="3" t="str">
        <f ca="1">IFERROR(__xludf.DUMMYFUNCTION("""COMPUTED_VALUE"""),"Inquire")</f>
        <v>Inquire</v>
      </c>
      <c r="J46" s="3" t="str">
        <f ca="1">IFERROR(__xludf.DUMMYFUNCTION("""COMPUTED_VALUE"""),"ELA")</f>
        <v>ELA</v>
      </c>
      <c r="K46" s="3" t="str">
        <f ca="1">IFERROR(__xludf.DUMMYFUNCTION("""COMPUTED_VALUE"""),"Prek")</f>
        <v>Prek</v>
      </c>
      <c r="L46" s="3" t="str">
        <f ca="1">IFERROR(__xludf.DUMMYFUNCTION("""COMPUTED_VALUE"""),"Air Dry Clay")</f>
        <v>Air Dry Clay</v>
      </c>
      <c r="M46" s="3">
        <f ca="1">IFERROR(__xludf.DUMMYFUNCTION("""COMPUTED_VALUE"""),1)</f>
        <v>1</v>
      </c>
      <c r="N46" s="3">
        <f ca="1">IFERROR(__xludf.DUMMYFUNCTION("""COMPUTED_VALUE"""),1)</f>
        <v>1</v>
      </c>
      <c r="O46" s="3">
        <f ca="1">IFERROR(__xludf.DUMMYFUNCTION("""COMPUTED_VALUE"""),1)</f>
        <v>1</v>
      </c>
      <c r="P46" s="3" t="str">
        <f ca="1">IFERROR(__xludf.DUMMYFUNCTION("""COMPUTED_VALUE"""),"Pioneer")</f>
        <v>Pioneer</v>
      </c>
      <c r="Q46" s="3" t="str">
        <f ca="1">IFERROR(__xludf.DUMMYFUNCTION("""COMPUTED_VALUE"""),"OLA")</f>
        <v>OLA</v>
      </c>
      <c r="R46" s="3" t="str">
        <f ca="1">IFERROR(__xludf.DUMMYFUNCTION("""COMPUTED_VALUE"""),"Literacy Night")</f>
        <v>Literacy Night</v>
      </c>
      <c r="S46" s="3">
        <f ca="1">IFERROR(__xludf.DUMMYFUNCTION("""COMPUTED_VALUE"""),1)</f>
        <v>1</v>
      </c>
      <c r="T46" s="3" t="str">
        <f ca="1">IFERROR(__xludf.DUMMYFUNCTION("""COMPUTED_VALUE"""),"Longfellow")</f>
        <v>Longfellow</v>
      </c>
      <c r="U46" s="3"/>
      <c r="V46" s="3"/>
      <c r="W46" s="3"/>
      <c r="X46" s="3"/>
      <c r="Y46" s="3"/>
      <c r="Z46" s="3"/>
      <c r="AA46" s="3"/>
      <c r="AB46" s="3"/>
      <c r="AC46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J5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52.5" customHeight="1" x14ac:dyDescent="0.15">
      <c r="A1" s="1" t="str">
        <f ca="1">IFERROR(__xludf.DUMMYFUNCTION("QUERY('District Data'!A:AC, ""SELECT * WHERE T = 'Whittier'"",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IFERROR(__xludf.DUMMYFUNCTION("""COMPUTED_VALUE"""),45538.4126692129)</f>
        <v>45538.412669212899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IFERROR(__xludf.DUMMYFUNCTION("""COMPUTED_VALUE"""),1537)</f>
        <v>1537</v>
      </c>
      <c r="D2" s="3"/>
      <c r="E2" s="3"/>
      <c r="F2" s="6"/>
      <c r="G2" s="3"/>
      <c r="H2" s="3"/>
      <c r="I2" s="3"/>
      <c r="J2" s="3"/>
      <c r="K2" s="3"/>
      <c r="L2" s="3"/>
      <c r="M2" s="3"/>
      <c r="N2" s="3">
        <f ca="1">IFERROR(__xludf.DUMMYFUNCTION("""COMPUTED_VALUE"""),228)</f>
        <v>228</v>
      </c>
      <c r="O2" s="3">
        <f ca="1">IFERROR(__xludf.DUMMYFUNCTION("""COMPUTED_VALUE"""),0)</f>
        <v>0</v>
      </c>
      <c r="P2" s="3"/>
      <c r="Q2" s="3"/>
      <c r="R2" s="3"/>
      <c r="S2" s="3"/>
      <c r="T2" s="3" t="str">
        <f ca="1">IFERROR(__xludf.DUMMYFUNCTION("""COMPUTED_VALUE"""),"Whittier")</f>
        <v>Whittier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IFERROR(__xludf.DUMMYFUNCTION("""COMPUTED_VALUE"""),45539.5571480902)</f>
        <v>45539.5571480902</v>
      </c>
      <c r="B3" s="3" t="str">
        <f ca="1">IFERROR(__xludf.DUMMYFUNCTION("""COMPUTED_VALUE"""),"kathrynes2@normanps.org")</f>
        <v>kathrynes2@normanps.org</v>
      </c>
      <c r="C3" s="3"/>
      <c r="D3" s="3">
        <f ca="1">IFERROR(__xludf.DUMMYFUNCTION("""COMPUTED_VALUE"""),1)</f>
        <v>1</v>
      </c>
      <c r="E3" s="3"/>
      <c r="F3" s="6">
        <f ca="1">IFERROR(__xludf.DUMMYFUNCTION("""COMPUTED_VALUE"""),0)</f>
        <v>0</v>
      </c>
      <c r="G3" s="3">
        <f ca="1">IFERROR(__xludf.DUMMYFUNCTION("""COMPUTED_VALUE"""),3)</f>
        <v>3</v>
      </c>
      <c r="H3" s="3"/>
      <c r="I3" s="3" t="str">
        <f ca="1">IFERROR(__xludf.DUMMYFUNCTION("""COMPUTED_VALUE"""),"Explore")</f>
        <v>Explore</v>
      </c>
      <c r="J3" s="3" t="str">
        <f ca="1">IFERROR(__xludf.DUMMYFUNCTION("""COMPUTED_VALUE"""),"Art")</f>
        <v>Art</v>
      </c>
      <c r="K3" s="3" t="str">
        <f ca="1">IFERROR(__xludf.DUMMYFUNCTION("""COMPUTED_VALUE"""),"Eighth")</f>
        <v>Eighth</v>
      </c>
      <c r="L3" s="3" t="str">
        <f ca="1">IFERROR(__xludf.DUMMYFUNCTION("""COMPUTED_VALUE"""),"Button Maker")</f>
        <v>Button Maker</v>
      </c>
      <c r="M3" s="3">
        <f ca="1">IFERROR(__xludf.DUMMYFUNCTION("""COMPUTED_VALUE"""),0)</f>
        <v>0</v>
      </c>
      <c r="N3" s="3"/>
      <c r="O3" s="3"/>
      <c r="P3" s="3" t="str">
        <f ca="1">IFERROR(__xludf.DUMMYFUNCTION("""COMPUTED_VALUE"""),"Pioneer")</f>
        <v>Pioneer</v>
      </c>
      <c r="Q3" s="3" t="str">
        <f ca="1">IFERROR(__xludf.DUMMYFUNCTION("""COMPUTED_VALUE"""),"Sequoyah")</f>
        <v>Sequoyah</v>
      </c>
      <c r="R3" s="3" t="str">
        <f ca="1">IFERROR(__xludf.DUMMYFUNCTION("""COMPUTED_VALUE"""),"Book Club")</f>
        <v>Book Club</v>
      </c>
      <c r="S3" s="3">
        <f ca="1">IFERROR(__xludf.DUMMYFUNCTION("""COMPUTED_VALUE"""),2)</f>
        <v>2</v>
      </c>
      <c r="T3" s="3" t="str">
        <f ca="1">IFERROR(__xludf.DUMMYFUNCTION("""COMPUTED_VALUE"""),"Whittier")</f>
        <v>Whittier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IFERROR(__xludf.DUMMYFUNCTION("""COMPUTED_VALUE"""),45539.5573315509)</f>
        <v>45539.557331550903</v>
      </c>
      <c r="B4" s="3" t="str">
        <f ca="1">IFERROR(__xludf.DUMMYFUNCTION("""COMPUTED_VALUE"""),"kathrynes2@normanps.org")</f>
        <v>kathrynes2@normanps.org</v>
      </c>
      <c r="C4" s="3"/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 t="str">
        <f ca="1">IFERROR(__xludf.DUMMYFUNCTION("""COMPUTED_VALUE"""),"Leadership")</f>
        <v>Leadership</v>
      </c>
      <c r="R4" s="3"/>
      <c r="S4" s="3"/>
      <c r="T4" s="3" t="str">
        <f ca="1">IFERROR(__xludf.DUMMYFUNCTION("""COMPUTED_VALUE"""),"Whittier")</f>
        <v>Whittier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IFERROR(__xludf.DUMMYFUNCTION("""COMPUTED_VALUE"""),45539.5577011111)</f>
        <v>45539.557701111102</v>
      </c>
      <c r="B5" s="3" t="str">
        <f ca="1">IFERROR(__xludf.DUMMYFUNCTION("""COMPUTED_VALUE"""),"kathrynes2@normanps.org")</f>
        <v>kathrynes2@normanps.org</v>
      </c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 t="str">
        <f ca="1">IFERROR(__xludf.DUMMYFUNCTION("""COMPUTED_VALUE"""),"PLC Guiding Coalition")</f>
        <v>PLC Guiding Coalition</v>
      </c>
      <c r="R5" s="3"/>
      <c r="S5" s="3"/>
      <c r="T5" s="3" t="str">
        <f ca="1">IFERROR(__xludf.DUMMYFUNCTION("""COMPUTED_VALUE"""),"Whittier")</f>
        <v>Whittier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IFERROR(__xludf.DUMMYFUNCTION("""COMPUTED_VALUE"""),45552.398251875)</f>
        <v>45552.398251874998</v>
      </c>
      <c r="B6" s="3" t="str">
        <f ca="1">IFERROR(__xludf.DUMMYFUNCTION("""COMPUTED_VALUE"""),"kathrynes2@normanps.org")</f>
        <v>kathrynes2@normanps.org</v>
      </c>
      <c r="C6" s="3"/>
      <c r="D6" s="3">
        <f ca="1">IFERROR(__xludf.DUMMYFUNCTION("""COMPUTED_VALUE"""),12)</f>
        <v>12</v>
      </c>
      <c r="E6" s="3"/>
      <c r="F6" s="6"/>
      <c r="G6" s="3">
        <f ca="1">IFERROR(__xludf.DUMMYFUNCTION("""COMPUTED_VALUE"""),6)</f>
        <v>6</v>
      </c>
      <c r="H6" s="3"/>
      <c r="I6" s="3" t="str">
        <f ca="1">IFERROR(__xludf.DUMMYFUNCTION("""COMPUTED_VALUE"""),"Curate")</f>
        <v>Curate</v>
      </c>
      <c r="J6" s="3" t="str">
        <f ca="1">IFERROR(__xludf.DUMMYFUNCTION("""COMPUTED_VALUE"""),"ELA")</f>
        <v>ELA</v>
      </c>
      <c r="K6" s="3" t="str">
        <f ca="1">IFERROR(__xludf.DUMMYFUNCTION("""COMPUTED_VALUE"""),"Seventh")</f>
        <v>Seventh</v>
      </c>
      <c r="L6" s="3"/>
      <c r="M6" s="3"/>
      <c r="N6" s="3"/>
      <c r="O6" s="3"/>
      <c r="P6" s="3"/>
      <c r="Q6" s="3"/>
      <c r="R6" s="3" t="str">
        <f ca="1">IFERROR(__xludf.DUMMYFUNCTION("""COMPUTED_VALUE"""),"Library Recess")</f>
        <v>Library Recess</v>
      </c>
      <c r="S6" s="3"/>
      <c r="T6" s="3" t="str">
        <f ca="1">IFERROR(__xludf.DUMMYFUNCTION("""COMPUTED_VALUE"""),"Whittier")</f>
        <v>Whittier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IFERROR(__xludf.DUMMYFUNCTION("""COMPUTED_VALUE"""),45552.3987473842)</f>
        <v>45552.398747384199</v>
      </c>
      <c r="B7" s="3" t="str">
        <f ca="1">IFERROR(__xludf.DUMMYFUNCTION("""COMPUTED_VALUE"""),"kathrynes2@normanps.org")</f>
        <v>kathrynes2@normanps.org</v>
      </c>
      <c r="C7" s="3"/>
      <c r="D7" s="3">
        <f ca="1">IFERROR(__xludf.DUMMYFUNCTION("""COMPUTED_VALUE"""),12)</f>
        <v>12</v>
      </c>
      <c r="E7" s="3"/>
      <c r="F7" s="6"/>
      <c r="G7" s="3"/>
      <c r="H7" s="3"/>
      <c r="I7" s="3" t="str">
        <f ca="1">IFERROR(__xludf.DUMMYFUNCTION("""COMPUTED_VALUE"""),"Explore")</f>
        <v>Explore</v>
      </c>
      <c r="J7" s="3" t="str">
        <f ca="1">IFERROR(__xludf.DUMMYFUNCTION("""COMPUTED_VALUE"""),"ELA")</f>
        <v>ELA</v>
      </c>
      <c r="K7" s="3" t="str">
        <f ca="1">IFERROR(__xludf.DUMMYFUNCTION("""COMPUTED_VALUE"""),"Seventh")</f>
        <v>Seventh</v>
      </c>
      <c r="L7" s="3"/>
      <c r="M7" s="3"/>
      <c r="N7" s="3"/>
      <c r="O7" s="3"/>
      <c r="P7" s="3"/>
      <c r="Q7" s="3"/>
      <c r="R7" s="3" t="str">
        <f ca="1">IFERROR(__xludf.DUMMYFUNCTION("""COMPUTED_VALUE"""),"Library Recess")</f>
        <v>Library Recess</v>
      </c>
      <c r="S7" s="3"/>
      <c r="T7" s="3" t="str">
        <f ca="1">IFERROR(__xludf.DUMMYFUNCTION("""COMPUTED_VALUE"""),"Whittier")</f>
        <v>Whittier</v>
      </c>
      <c r="U7" s="3"/>
      <c r="V7" s="3"/>
      <c r="W7" s="3"/>
      <c r="X7" s="3"/>
      <c r="Y7" s="3"/>
      <c r="Z7" s="3"/>
      <c r="AA7" s="3"/>
      <c r="AB7" s="3"/>
      <c r="AC7" s="3"/>
    </row>
    <row r="8" spans="1:36" ht="13" x14ac:dyDescent="0.15">
      <c r="A8" s="2">
        <f ca="1">IFERROR(__xludf.DUMMYFUNCTION("""COMPUTED_VALUE"""),45552.3999303587)</f>
        <v>45552.399930358697</v>
      </c>
      <c r="B8" s="3" t="str">
        <f ca="1">IFERROR(__xludf.DUMMYFUNCTION("""COMPUTED_VALUE"""),"kathrynes2@normanps.org")</f>
        <v>kathrynes2@normanps.org</v>
      </c>
      <c r="C8" s="3"/>
      <c r="D8" s="3">
        <f ca="1">IFERROR(__xludf.DUMMYFUNCTION("""COMPUTED_VALUE"""),1)</f>
        <v>1</v>
      </c>
      <c r="E8" s="3"/>
      <c r="F8" s="6"/>
      <c r="G8" s="3"/>
      <c r="H8" s="3"/>
      <c r="I8" s="3" t="str">
        <f ca="1">IFERROR(__xludf.DUMMYFUNCTION("""COMPUTED_VALUE"""),"Inquire")</f>
        <v>Inquire</v>
      </c>
      <c r="J8" s="3" t="str">
        <f ca="1">IFERROR(__xludf.DUMMYFUNCTION("""COMPUTED_VALUE"""),"Art")</f>
        <v>Art</v>
      </c>
      <c r="K8" s="3" t="str">
        <f ca="1">IFERROR(__xludf.DUMMYFUNCTION("""COMPUTED_VALUE"""),"Seventh")</f>
        <v>Seventh</v>
      </c>
      <c r="L8" s="3"/>
      <c r="M8" s="3"/>
      <c r="N8" s="3"/>
      <c r="O8" s="3"/>
      <c r="P8" s="3"/>
      <c r="Q8" s="3"/>
      <c r="R8" s="3"/>
      <c r="S8" s="3"/>
      <c r="T8" s="3" t="str">
        <f ca="1">IFERROR(__xludf.DUMMYFUNCTION("""COMPUTED_VALUE"""),"Whittier")</f>
        <v>Whittier</v>
      </c>
      <c r="U8" s="3"/>
      <c r="V8" s="3"/>
      <c r="W8" s="3"/>
      <c r="X8" s="3"/>
      <c r="Y8" s="3"/>
      <c r="Z8" s="3"/>
      <c r="AA8" s="3"/>
      <c r="AB8" s="3"/>
      <c r="AC8" s="3"/>
    </row>
    <row r="9" spans="1:36" ht="13" x14ac:dyDescent="0.15">
      <c r="A9" s="2">
        <f ca="1">IFERROR(__xludf.DUMMYFUNCTION("""COMPUTED_VALUE"""),45552.4002400926)</f>
        <v>45552.400240092597</v>
      </c>
      <c r="B9" s="3" t="str">
        <f ca="1">IFERROR(__xludf.DUMMYFUNCTION("""COMPUTED_VALUE"""),"kathrynes2@normanps.org")</f>
        <v>kathrynes2@normanps.org</v>
      </c>
      <c r="C9" s="3"/>
      <c r="D9" s="3">
        <f ca="1">IFERROR(__xludf.DUMMYFUNCTION("""COMPUTED_VALUE"""),2)</f>
        <v>2</v>
      </c>
      <c r="E9" s="3"/>
      <c r="F9" s="6"/>
      <c r="G9" s="3"/>
      <c r="H9" s="3"/>
      <c r="I9" s="3" t="str">
        <f ca="1">IFERROR(__xludf.DUMMYFUNCTION("""COMPUTED_VALUE"""),"Curate")</f>
        <v>Curate</v>
      </c>
      <c r="J9" s="3" t="str">
        <f ca="1">IFERROR(__xludf.DUMMYFUNCTION("""COMPUTED_VALUE"""),"ELA")</f>
        <v>ELA</v>
      </c>
      <c r="K9" s="3"/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IFERROR(__xludf.DUMMYFUNCTION("""COMPUTED_VALUE"""),"Whittier")</f>
        <v>Whittier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3" x14ac:dyDescent="0.15">
      <c r="A10" s="2">
        <f ca="1">IFERROR(__xludf.DUMMYFUNCTION("""COMPUTED_VALUE"""),45552.4414401967)</f>
        <v>45552.441440196701</v>
      </c>
      <c r="B10" s="3" t="str">
        <f ca="1">IFERROR(__xludf.DUMMYFUNCTION("""COMPUTED_VALUE"""),"kathrynes2@normanps.org")</f>
        <v>kathrynes2@normanps.org</v>
      </c>
      <c r="C10" s="3"/>
      <c r="D10" s="3"/>
      <c r="E10" s="3"/>
      <c r="F10" s="6"/>
      <c r="G10" s="3">
        <f ca="1">IFERROR(__xludf.DUMMYFUNCTION("""COMPUTED_VALUE"""),6)</f>
        <v>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 t="str">
        <f ca="1">IFERROR(__xludf.DUMMYFUNCTION("""COMPUTED_VALUE"""),"Library Recess")</f>
        <v>Library Recess</v>
      </c>
      <c r="S10" s="3"/>
      <c r="T10" s="3" t="str">
        <f ca="1">IFERROR(__xludf.DUMMYFUNCTION("""COMPUTED_VALUE"""),"Whittier")</f>
        <v>Whittier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3" x14ac:dyDescent="0.15">
      <c r="A11" s="2">
        <f ca="1">IFERROR(__xludf.DUMMYFUNCTION("""COMPUTED_VALUE"""),45552.4417726157)</f>
        <v>45552.441772615697</v>
      </c>
      <c r="B11" s="3" t="str">
        <f ca="1">IFERROR(__xludf.DUMMYFUNCTION("""COMPUTED_VALUE"""),"kathrynes2@normanps.org")</f>
        <v>kathrynes2@normanps.org</v>
      </c>
      <c r="C11" s="3"/>
      <c r="D11" s="3"/>
      <c r="E11" s="3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tr">
        <f ca="1">IFERROR(__xludf.DUMMYFUNCTION("""COMPUTED_VALUE"""),"Sequoyah")</f>
        <v>Sequoyah</v>
      </c>
      <c r="R11" s="3" t="str">
        <f ca="1">IFERROR(__xludf.DUMMYFUNCTION("""COMPUTED_VALUE"""),"Library Recess")</f>
        <v>Library Recess</v>
      </c>
      <c r="S11" s="3"/>
      <c r="T11" s="3" t="str">
        <f ca="1">IFERROR(__xludf.DUMMYFUNCTION("""COMPUTED_VALUE"""),"Whittier")</f>
        <v>Whittier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3" x14ac:dyDescent="0.15">
      <c r="A12" s="2">
        <f ca="1">IFERROR(__xludf.DUMMYFUNCTION("""COMPUTED_VALUE"""),45552.5120171759)</f>
        <v>45552.512017175897</v>
      </c>
      <c r="B12" s="3" t="str">
        <f ca="1">IFERROR(__xludf.DUMMYFUNCTION("""COMPUTED_VALUE"""),"kathrynes2@normanps.org")</f>
        <v>kathrynes2@normanps.org</v>
      </c>
      <c r="C12" s="3"/>
      <c r="D12" s="3"/>
      <c r="E12" s="3"/>
      <c r="F12" s="6"/>
      <c r="G12" s="3">
        <f ca="1">IFERROR(__xludf.DUMMYFUNCTION("""COMPUTED_VALUE"""),3)</f>
        <v>3</v>
      </c>
      <c r="H12" s="3"/>
      <c r="I12" s="3"/>
      <c r="J12" s="3"/>
      <c r="K12" s="3"/>
      <c r="L12" s="3" t="str">
        <f ca="1">IFERROR(__xludf.DUMMYFUNCTION("""COMPUTED_VALUE"""),"Button Maker")</f>
        <v>Button Maker</v>
      </c>
      <c r="M12" s="3"/>
      <c r="N12" s="3"/>
      <c r="O12" s="3"/>
      <c r="P12" s="3"/>
      <c r="Q12" s="3"/>
      <c r="R12" s="3" t="str">
        <f ca="1">IFERROR(__xludf.DUMMYFUNCTION("""COMPUTED_VALUE"""),"Library Recess")</f>
        <v>Library Recess</v>
      </c>
      <c r="S12" s="3"/>
      <c r="T12" s="3" t="str">
        <f ca="1">IFERROR(__xludf.DUMMYFUNCTION("""COMPUTED_VALUE"""),"Whittier")</f>
        <v>Whittier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3" x14ac:dyDescent="0.15">
      <c r="A13" s="2">
        <f ca="1">IFERROR(__xludf.DUMMYFUNCTION("""COMPUTED_VALUE"""),45552.5123612152)</f>
        <v>45552.512361215202</v>
      </c>
      <c r="B13" s="3" t="str">
        <f ca="1">IFERROR(__xludf.DUMMYFUNCTION("""COMPUTED_VALUE"""),"kathrynes2@normanps.org")</f>
        <v>kathrynes2@normanps.org</v>
      </c>
      <c r="C13" s="3"/>
      <c r="D13" s="3"/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 t="str">
        <f ca="1">IFERROR(__xludf.DUMMYFUNCTION("""COMPUTED_VALUE"""),"Pioneer")</f>
        <v>Pioneer</v>
      </c>
      <c r="Q13" s="3"/>
      <c r="R13" s="3" t="str">
        <f ca="1">IFERROR(__xludf.DUMMYFUNCTION("""COMPUTED_VALUE"""),"Sequoyah Book Club")</f>
        <v>Sequoyah Book Club</v>
      </c>
      <c r="S13" s="3"/>
      <c r="T13" s="3" t="str">
        <f ca="1">IFERROR(__xludf.DUMMYFUNCTION("""COMPUTED_VALUE"""),"Whittier")</f>
        <v>Whittier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3" x14ac:dyDescent="0.15">
      <c r="A14" s="2">
        <f ca="1">IFERROR(__xludf.DUMMYFUNCTION("""COMPUTED_VALUE"""),45565.5269461574)</f>
        <v>45565.526946157399</v>
      </c>
      <c r="B14" s="3" t="str">
        <f ca="1">IFERROR(__xludf.DUMMYFUNCTION("""COMPUTED_VALUE"""),"kathrynes2@normanps.org")</f>
        <v>kathrynes2@normanps.org</v>
      </c>
      <c r="C14" s="3"/>
      <c r="D14" s="3">
        <f ca="1">IFERROR(__xludf.DUMMYFUNCTION("""COMPUTED_VALUE"""),8)</f>
        <v>8</v>
      </c>
      <c r="E14" s="3"/>
      <c r="F14" s="6"/>
      <c r="G14" s="3">
        <f ca="1">IFERROR(__xludf.DUMMYFUNCTION("""COMPUTED_VALUE"""),6)</f>
        <v>6</v>
      </c>
      <c r="H14" s="3">
        <f ca="1">IFERROR(__xludf.DUMMYFUNCTION("""COMPUTED_VALUE"""),15)</f>
        <v>15</v>
      </c>
      <c r="I14" s="3" t="str">
        <f ca="1">IFERROR(__xludf.DUMMYFUNCTION("""COMPUTED_VALUE"""),"Curate")</f>
        <v>Curate</v>
      </c>
      <c r="J14" s="3" t="str">
        <f ca="1">IFERROR(__xludf.DUMMYFUNCTION("""COMPUTED_VALUE"""),"ELA")</f>
        <v>ELA</v>
      </c>
      <c r="K14" s="3" t="str">
        <f ca="1">IFERROR(__xludf.DUMMYFUNCTION("""COMPUTED_VALUE"""),"Eighth")</f>
        <v>Eighth</v>
      </c>
      <c r="L14" s="3"/>
      <c r="M14" s="3"/>
      <c r="N14" s="3"/>
      <c r="O14" s="3"/>
      <c r="P14" s="3"/>
      <c r="Q14" s="3"/>
      <c r="R14" s="3" t="str">
        <f ca="1">IFERROR(__xludf.DUMMYFUNCTION("""COMPUTED_VALUE"""),"Book Subscription")</f>
        <v>Book Subscription</v>
      </c>
      <c r="S14" s="3">
        <f ca="1">IFERROR(__xludf.DUMMYFUNCTION("""COMPUTED_VALUE"""),1)</f>
        <v>1</v>
      </c>
      <c r="T14" s="3" t="str">
        <f ca="1">IFERROR(__xludf.DUMMYFUNCTION("""COMPUTED_VALUE"""),"Whittier")</f>
        <v>Whittier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3" x14ac:dyDescent="0.15">
      <c r="A15" s="2">
        <f ca="1">IFERROR(__xludf.DUMMYFUNCTION("""COMPUTED_VALUE"""),45565.5276437963)</f>
        <v>45565.527643796297</v>
      </c>
      <c r="B15" s="3" t="str">
        <f ca="1">IFERROR(__xludf.DUMMYFUNCTION("""COMPUTED_VALUE"""),"kathrynes2@normanps.org")</f>
        <v>kathrynes2@normanps.org</v>
      </c>
      <c r="C15" s="3"/>
      <c r="D15" s="3"/>
      <c r="E15" s="3"/>
      <c r="F15" s="6"/>
      <c r="G15" s="3"/>
      <c r="H15" s="3"/>
      <c r="I15" s="3"/>
      <c r="J15" s="3"/>
      <c r="K15" s="3"/>
      <c r="L15" s="3"/>
      <c r="M15" s="3"/>
      <c r="N15" s="3"/>
      <c r="O15" s="3"/>
      <c r="P15" s="3" t="str">
        <f ca="1">IFERROR(__xludf.DUMMYFUNCTION("""COMPUTED_VALUE"""),"Pioneer")</f>
        <v>Pioneer</v>
      </c>
      <c r="Q15" s="3"/>
      <c r="R15" s="3" t="str">
        <f ca="1">IFERROR(__xludf.DUMMYFUNCTION("""COMPUTED_VALUE"""),"Book Club")</f>
        <v>Book Club</v>
      </c>
      <c r="S15" s="3"/>
      <c r="T15" s="3" t="str">
        <f ca="1">IFERROR(__xludf.DUMMYFUNCTION("""COMPUTED_VALUE"""),"Whittier")</f>
        <v>Whittier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3" x14ac:dyDescent="0.15">
      <c r="A16" s="2">
        <f ca="1">IFERROR(__xludf.DUMMYFUNCTION("""COMPUTED_VALUE"""),45565.5286941319)</f>
        <v>45565.528694131899</v>
      </c>
      <c r="B16" s="3" t="str">
        <f ca="1">IFERROR(__xludf.DUMMYFUNCTION("""COMPUTED_VALUE"""),"kathrynes2@normanps.org")</f>
        <v>kathrynes2@normanps.org</v>
      </c>
      <c r="C16" s="3"/>
      <c r="D16" s="3"/>
      <c r="E16" s="3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 t="str">
        <f ca="1">IFERROR(__xludf.DUMMYFUNCTION("""COMPUTED_VALUE"""),"Library Recess")</f>
        <v>Library Recess</v>
      </c>
      <c r="S16" s="3"/>
      <c r="T16" s="3" t="str">
        <f ca="1">IFERROR(__xludf.DUMMYFUNCTION("""COMPUTED_VALUE"""),"Whittier")</f>
        <v>Whittier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3" x14ac:dyDescent="0.15">
      <c r="A17" s="2">
        <f ca="1">IFERROR(__xludf.DUMMYFUNCTION("""COMPUTED_VALUE"""),45565.5288445138)</f>
        <v>45565.528844513799</v>
      </c>
      <c r="B17" s="3" t="str">
        <f ca="1">IFERROR(__xludf.DUMMYFUNCTION("""COMPUTED_VALUE"""),"kathrynes2@normanps.org")</f>
        <v>kathrynes2@normanps.org</v>
      </c>
      <c r="C17" s="3"/>
      <c r="D17" s="3"/>
      <c r="E17" s="3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str">
        <f ca="1">IFERROR(__xludf.DUMMYFUNCTION("""COMPUTED_VALUE"""),"Library Recess")</f>
        <v>Library Recess</v>
      </c>
      <c r="S17" s="3"/>
      <c r="T17" s="3" t="str">
        <f ca="1">IFERROR(__xludf.DUMMYFUNCTION("""COMPUTED_VALUE"""),"Whittier")</f>
        <v>Whittier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3" x14ac:dyDescent="0.15">
      <c r="A18" s="2">
        <f ca="1">IFERROR(__xludf.DUMMYFUNCTION("""COMPUTED_VALUE"""),45573.4216036458)</f>
        <v>45573.421603645802</v>
      </c>
      <c r="B18" s="3" t="str">
        <f ca="1">IFERROR(__xludf.DUMMYFUNCTION("""COMPUTED_VALUE"""),"sschrank@normanps.org")</f>
        <v>sschrank@normanps.org</v>
      </c>
      <c r="C18" s="3">
        <f ca="1">IFERROR(__xludf.DUMMYFUNCTION("""COMPUTED_VALUE"""),980)</f>
        <v>980</v>
      </c>
      <c r="D18" s="3"/>
      <c r="E18" s="3"/>
      <c r="F18" s="6"/>
      <c r="G18" s="3"/>
      <c r="H18" s="3"/>
      <c r="I18" s="3"/>
      <c r="J18" s="3"/>
      <c r="K18" s="3"/>
      <c r="L18" s="3"/>
      <c r="M18" s="3"/>
      <c r="N18" s="3">
        <f ca="1">IFERROR(__xludf.DUMMYFUNCTION("""COMPUTED_VALUE"""),583)</f>
        <v>583</v>
      </c>
      <c r="O18" s="3"/>
      <c r="P18" s="3"/>
      <c r="Q18" s="3"/>
      <c r="R18" s="3"/>
      <c r="S18" s="3"/>
      <c r="T18" s="3" t="str">
        <f ca="1">IFERROR(__xludf.DUMMYFUNCTION("""COMPUTED_VALUE"""),"Whittier")</f>
        <v>Whittier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3" x14ac:dyDescent="0.15">
      <c r="A19" s="2">
        <f ca="1">IFERROR(__xludf.DUMMYFUNCTION("""COMPUTED_VALUE"""),45583.4215669444)</f>
        <v>45583.421566944402</v>
      </c>
      <c r="B19" s="3" t="str">
        <f ca="1">IFERROR(__xludf.DUMMYFUNCTION("""COMPUTED_VALUE"""),"kathrynes2@normanps.org")</f>
        <v>kathrynes2@normanps.org</v>
      </c>
      <c r="C19" s="3"/>
      <c r="D19" s="3"/>
      <c r="E19" s="3"/>
      <c r="F19" s="6"/>
      <c r="G19" s="3"/>
      <c r="H19" s="3">
        <f ca="1">IFERROR(__xludf.DUMMYFUNCTION("""COMPUTED_VALUE"""),45)</f>
        <v>45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IFERROR(__xludf.DUMMYFUNCTION("""COMPUTED_VALUE"""),"Whittier")</f>
        <v>Whittier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3" x14ac:dyDescent="0.15">
      <c r="A20" s="2">
        <f ca="1">IFERROR(__xludf.DUMMYFUNCTION("""COMPUTED_VALUE"""),45583.4241039236)</f>
        <v>45583.4241039236</v>
      </c>
      <c r="B20" s="3" t="str">
        <f ca="1">IFERROR(__xludf.DUMMYFUNCTION("""COMPUTED_VALUE"""),"kathrynes2@normanps.org")</f>
        <v>kathrynes2@normanps.org</v>
      </c>
      <c r="C20" s="3"/>
      <c r="D20" s="3">
        <f ca="1">IFERROR(__xludf.DUMMYFUNCTION("""COMPUTED_VALUE"""),20)</f>
        <v>20</v>
      </c>
      <c r="E20" s="3"/>
      <c r="F20" s="6"/>
      <c r="G20" s="3"/>
      <c r="H20" s="3"/>
      <c r="I20" s="3"/>
      <c r="J20" s="3" t="str">
        <f ca="1">IFERROR(__xludf.DUMMYFUNCTION("""COMPUTED_VALUE"""),"Social Studies")</f>
        <v>Social Studies</v>
      </c>
      <c r="K20" s="3" t="str">
        <f ca="1">IFERROR(__xludf.DUMMYFUNCTION("""COMPUTED_VALUE"""),"Seventh")</f>
        <v>Seventh</v>
      </c>
      <c r="L20" s="3"/>
      <c r="M20" s="3"/>
      <c r="N20" s="3"/>
      <c r="O20" s="3"/>
      <c r="P20" s="3"/>
      <c r="Q20" s="3"/>
      <c r="R20" s="3"/>
      <c r="S20" s="3"/>
      <c r="T20" s="3" t="str">
        <f ca="1">IFERROR(__xludf.DUMMYFUNCTION("""COMPUTED_VALUE"""),"Whittier")</f>
        <v>Whittier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3" x14ac:dyDescent="0.15">
      <c r="A21" s="2">
        <f ca="1">IFERROR(__xludf.DUMMYFUNCTION("""COMPUTED_VALUE"""),45583.4249961689)</f>
        <v>45583.424996168898</v>
      </c>
      <c r="B21" s="3" t="str">
        <f ca="1">IFERROR(__xludf.DUMMYFUNCTION("""COMPUTED_VALUE"""),"kathrynes2@normanps.org")</f>
        <v>kathrynes2@normanps.org</v>
      </c>
      <c r="C21" s="3"/>
      <c r="D21" s="3"/>
      <c r="E21" s="3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 t="str">
        <f ca="1">IFERROR(__xludf.DUMMYFUNCTION("""COMPUTED_VALUE"""),"Sequoyah Book Club")</f>
        <v>Sequoyah Book Club</v>
      </c>
      <c r="S21" s="3">
        <f ca="1">IFERROR(__xludf.DUMMYFUNCTION("""COMPUTED_VALUE"""),2)</f>
        <v>2</v>
      </c>
      <c r="T21" s="3" t="str">
        <f ca="1">IFERROR(__xludf.DUMMYFUNCTION("""COMPUTED_VALUE"""),"Whittier")</f>
        <v>Whittier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3" x14ac:dyDescent="0.15">
      <c r="A22" s="2">
        <f ca="1">IFERROR(__xludf.DUMMYFUNCTION("""COMPUTED_VALUE"""),45583.4254351388)</f>
        <v>45583.425435138801</v>
      </c>
      <c r="B22" s="3" t="str">
        <f ca="1">IFERROR(__xludf.DUMMYFUNCTION("""COMPUTED_VALUE"""),"kathrynes2@normanps.org")</f>
        <v>kathrynes2@normanps.org</v>
      </c>
      <c r="C22" s="3"/>
      <c r="D22" s="3"/>
      <c r="E22" s="3"/>
      <c r="F22" s="6"/>
      <c r="G22" s="3">
        <f ca="1">IFERROR(__xludf.DUMMYFUNCTION("""COMPUTED_VALUE"""),3)</f>
        <v>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 t="str">
        <f ca="1">IFERROR(__xludf.DUMMYFUNCTION("""COMPUTED_VALUE"""),"Pioneer Maker Library Recess")</f>
        <v>Pioneer Maker Library Recess</v>
      </c>
      <c r="S22" s="3"/>
      <c r="T22" s="3" t="str">
        <f ca="1">IFERROR(__xludf.DUMMYFUNCTION("""COMPUTED_VALUE"""),"Whittier")</f>
        <v>Whittier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3" x14ac:dyDescent="0.15">
      <c r="A23" s="2">
        <f ca="1">IFERROR(__xludf.DUMMYFUNCTION("""COMPUTED_VALUE"""),45583.4262232523)</f>
        <v>45583.426223252303</v>
      </c>
      <c r="B23" s="3" t="str">
        <f ca="1">IFERROR(__xludf.DUMMYFUNCTION("""COMPUTED_VALUE"""),"kathrynes2@normanps.org")</f>
        <v>kathrynes2@normanps.org</v>
      </c>
      <c r="C23" s="3"/>
      <c r="D23" s="3"/>
      <c r="E23" s="3"/>
      <c r="F23" s="6"/>
      <c r="G23" s="3"/>
      <c r="H23" s="3"/>
      <c r="I23" s="3" t="str">
        <f ca="1">IFERROR(__xludf.DUMMYFUNCTION("""COMPUTED_VALUE"""),"Curate")</f>
        <v>Curate</v>
      </c>
      <c r="J23" s="3" t="str">
        <f ca="1">IFERROR(__xludf.DUMMYFUNCTION("""COMPUTED_VALUE"""),"ELA")</f>
        <v>ELA</v>
      </c>
      <c r="K23" s="3" t="str">
        <f ca="1">IFERROR(__xludf.DUMMYFUNCTION("""COMPUTED_VALUE"""),"Sixth")</f>
        <v>Sixth</v>
      </c>
      <c r="L23" s="3"/>
      <c r="M23" s="3"/>
      <c r="N23" s="3"/>
      <c r="O23" s="3"/>
      <c r="P23" s="3"/>
      <c r="Q23" s="3"/>
      <c r="R23" s="3"/>
      <c r="S23" s="3">
        <f ca="1">IFERROR(__xludf.DUMMYFUNCTION("""COMPUTED_VALUE"""),1)</f>
        <v>1</v>
      </c>
      <c r="T23" s="3" t="str">
        <f ca="1">IFERROR(__xludf.DUMMYFUNCTION("""COMPUTED_VALUE"""),"Whittier")</f>
        <v>Whittier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3" x14ac:dyDescent="0.15">
      <c r="A24" s="2">
        <f ca="1">IFERROR(__xludf.DUMMYFUNCTION("""COMPUTED_VALUE"""),45589.4448401157)</f>
        <v>45589.444840115699</v>
      </c>
      <c r="B24" s="3" t="str">
        <f ca="1">IFERROR(__xludf.DUMMYFUNCTION("""COMPUTED_VALUE"""),"kathrynes2@normanps.org")</f>
        <v>kathrynes2@normanps.org</v>
      </c>
      <c r="C24" s="3"/>
      <c r="D24" s="3">
        <f ca="1">IFERROR(__xludf.DUMMYFUNCTION("""COMPUTED_VALUE"""),24)</f>
        <v>24</v>
      </c>
      <c r="E24" s="3"/>
      <c r="F24" s="6"/>
      <c r="G24" s="3">
        <f ca="1">IFERROR(__xludf.DUMMYFUNCTION("""COMPUTED_VALUE"""),6)</f>
        <v>6</v>
      </c>
      <c r="H24" s="3">
        <f ca="1">IFERROR(__xludf.DUMMYFUNCTION("""COMPUTED_VALUE"""),5)</f>
        <v>5</v>
      </c>
      <c r="I24" s="3" t="str">
        <f ca="1">IFERROR(__xludf.DUMMYFUNCTION("""COMPUTED_VALUE"""),"Explore")</f>
        <v>Explore</v>
      </c>
      <c r="J24" s="3" t="str">
        <f ca="1">IFERROR(__xludf.DUMMYFUNCTION("""COMPUTED_VALUE"""),"Social Studies")</f>
        <v>Social Studies</v>
      </c>
      <c r="K24" s="3" t="str">
        <f ca="1">IFERROR(__xludf.DUMMYFUNCTION("""COMPUTED_VALUE"""),"Seventh")</f>
        <v>Seventh</v>
      </c>
      <c r="L24" s="3"/>
      <c r="M24" s="3"/>
      <c r="N24" s="3"/>
      <c r="O24" s="3"/>
      <c r="P24" s="3"/>
      <c r="Q24" s="3"/>
      <c r="R24" s="3" t="str">
        <f ca="1">IFERROR(__xludf.DUMMYFUNCTION("""COMPUTED_VALUE"""),"Library Recess")</f>
        <v>Library Recess</v>
      </c>
      <c r="S24" s="3">
        <f ca="1">IFERROR(__xludf.DUMMYFUNCTION("""COMPUTED_VALUE"""),2)</f>
        <v>2</v>
      </c>
      <c r="T24" s="3" t="str">
        <f ca="1">IFERROR(__xludf.DUMMYFUNCTION("""COMPUTED_VALUE"""),"Whittier")</f>
        <v>Whittier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3" x14ac:dyDescent="0.15">
      <c r="A25" s="2">
        <f ca="1">IFERROR(__xludf.DUMMYFUNCTION("""COMPUTED_VALUE"""),45589.4452136574)</f>
        <v>45589.445213657396</v>
      </c>
      <c r="B25" s="3" t="str">
        <f ca="1">IFERROR(__xludf.DUMMYFUNCTION("""COMPUTED_VALUE"""),"kathrynes2@normanps.org")</f>
        <v>kathrynes2@normanps.org</v>
      </c>
      <c r="C25" s="3"/>
      <c r="D25" s="3"/>
      <c r="E25" s="3"/>
      <c r="F25" s="6"/>
      <c r="G25" s="3"/>
      <c r="H25" s="3"/>
      <c r="I25" s="3" t="str">
        <f ca="1">IFERROR(__xludf.DUMMYFUNCTION("""COMPUTED_VALUE"""),"Curate")</f>
        <v>Curate</v>
      </c>
      <c r="J25" s="3" t="str">
        <f ca="1">IFERROR(__xludf.DUMMYFUNCTION("""COMPUTED_VALUE"""),"ELA")</f>
        <v>ELA</v>
      </c>
      <c r="K25" s="3" t="str">
        <f ca="1">IFERROR(__xludf.DUMMYFUNCTION("""COMPUTED_VALUE"""),"Sixth")</f>
        <v>Sixth</v>
      </c>
      <c r="L25" s="3"/>
      <c r="M25" s="3"/>
      <c r="N25" s="3"/>
      <c r="O25" s="3"/>
      <c r="P25" s="3"/>
      <c r="Q25" s="3"/>
      <c r="R25" s="3" t="str">
        <f ca="1">IFERROR(__xludf.DUMMYFUNCTION("""COMPUTED_VALUE"""),"Library Recess")</f>
        <v>Library Recess</v>
      </c>
      <c r="S25" s="3"/>
      <c r="T25" s="3" t="str">
        <f ca="1">IFERROR(__xludf.DUMMYFUNCTION("""COMPUTED_VALUE"""),"Whittier")</f>
        <v>Whittier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3" x14ac:dyDescent="0.15">
      <c r="A26" s="2">
        <f ca="1">IFERROR(__xludf.DUMMYFUNCTION("""COMPUTED_VALUE"""),45607.5756791898)</f>
        <v>45607.575679189802</v>
      </c>
      <c r="B26" s="3" t="str">
        <f ca="1">IFERROR(__xludf.DUMMYFUNCTION("""COMPUTED_VALUE"""),"kathrynes2@normanps.org")</f>
        <v>kathrynes2@normanps.org</v>
      </c>
      <c r="C26" s="3"/>
      <c r="D26" s="3"/>
      <c r="E26" s="3"/>
      <c r="F26" s="6"/>
      <c r="G26" s="3"/>
      <c r="H26" s="3"/>
      <c r="I26" s="3"/>
      <c r="J26" s="3"/>
      <c r="K26" s="3"/>
      <c r="L26" s="3"/>
      <c r="M26" s="3">
        <f ca="1">IFERROR(__xludf.DUMMYFUNCTION("""COMPUTED_VALUE"""),8)</f>
        <v>8</v>
      </c>
      <c r="N26" s="3"/>
      <c r="O26" s="3"/>
      <c r="P26" s="3"/>
      <c r="Q26" s="3"/>
      <c r="R26" s="3"/>
      <c r="S26" s="3"/>
      <c r="T26" s="3" t="str">
        <f ca="1">IFERROR(__xludf.DUMMYFUNCTION("""COMPUTED_VALUE"""),"Whittier")</f>
        <v>Whittier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3" x14ac:dyDescent="0.15">
      <c r="A27" s="2">
        <f ca="1">IFERROR(__xludf.DUMMYFUNCTION("""COMPUTED_VALUE"""),45607.5762484606)</f>
        <v>45607.576248460602</v>
      </c>
      <c r="B27" s="3" t="str">
        <f ca="1">IFERROR(__xludf.DUMMYFUNCTION("""COMPUTED_VALUE"""),"kathrynes2@normanps.org")</f>
        <v>kathrynes2@normanps.org</v>
      </c>
      <c r="C27" s="3"/>
      <c r="D27" s="3"/>
      <c r="E27" s="3"/>
      <c r="F27" s="6"/>
      <c r="G27" s="3">
        <f ca="1">IFERROR(__xludf.DUMMYFUNCTION("""COMPUTED_VALUE"""),6)</f>
        <v>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 t="str">
        <f ca="1">IFERROR(__xludf.DUMMYFUNCTION("""COMPUTED_VALUE"""),"Library Recess")</f>
        <v>Library Recess</v>
      </c>
      <c r="S27" s="3"/>
      <c r="T27" s="3" t="str">
        <f ca="1">IFERROR(__xludf.DUMMYFUNCTION("""COMPUTED_VALUE"""),"Whittier")</f>
        <v>Whittier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3" x14ac:dyDescent="0.15">
      <c r="A28" s="2">
        <f ca="1">IFERROR(__xludf.DUMMYFUNCTION("""COMPUTED_VALUE"""),45607.5770768865)</f>
        <v>45607.577076886497</v>
      </c>
      <c r="B28" s="3" t="str">
        <f ca="1">IFERROR(__xludf.DUMMYFUNCTION("""COMPUTED_VALUE"""),"kathrynes2@normanps.org")</f>
        <v>kathrynes2@normanps.org</v>
      </c>
      <c r="C28" s="3"/>
      <c r="D28" s="3">
        <f ca="1">IFERROR(__xludf.DUMMYFUNCTION("""COMPUTED_VALUE"""),4)</f>
        <v>4</v>
      </c>
      <c r="E28" s="3"/>
      <c r="F28" s="6"/>
      <c r="G28" s="3"/>
      <c r="H28" s="3">
        <f ca="1">IFERROR(__xludf.DUMMYFUNCTION("""COMPUTED_VALUE"""),10)</f>
        <v>10</v>
      </c>
      <c r="I28" s="3" t="str">
        <f ca="1">IFERROR(__xludf.DUMMYFUNCTION("""COMPUTED_VALUE"""),"Inquire")</f>
        <v>Inquire</v>
      </c>
      <c r="J28" s="3" t="str">
        <f ca="1">IFERROR(__xludf.DUMMYFUNCTION("""COMPUTED_VALUE"""),"Social Studies")</f>
        <v>Social Studies</v>
      </c>
      <c r="K28" s="3" t="str">
        <f ca="1">IFERROR(__xludf.DUMMYFUNCTION("""COMPUTED_VALUE"""),"Seventh")</f>
        <v>Seventh</v>
      </c>
      <c r="L28" s="3"/>
      <c r="M28" s="3"/>
      <c r="N28" s="3"/>
      <c r="O28" s="3"/>
      <c r="P28" s="3"/>
      <c r="Q28" s="3"/>
      <c r="R28" s="3" t="str">
        <f ca="1">IFERROR(__xludf.DUMMYFUNCTION("""COMPUTED_VALUE"""),"Library Recess")</f>
        <v>Library Recess</v>
      </c>
      <c r="S28" s="3"/>
      <c r="T28" s="3" t="str">
        <f ca="1">IFERROR(__xludf.DUMMYFUNCTION("""COMPUTED_VALUE"""),"Whittier")</f>
        <v>Whittier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3" x14ac:dyDescent="0.15">
      <c r="A29" s="2">
        <f ca="1">IFERROR(__xludf.DUMMYFUNCTION("""COMPUTED_VALUE"""),45607.5779170023)</f>
        <v>45607.577917002302</v>
      </c>
      <c r="B29" s="3" t="str">
        <f ca="1">IFERROR(__xludf.DUMMYFUNCTION("""COMPUTED_VALUE"""),"kathrynes2@normanps.org")</f>
        <v>kathrynes2@normanps.org</v>
      </c>
      <c r="C29" s="3"/>
      <c r="D29" s="3">
        <f ca="1">IFERROR(__xludf.DUMMYFUNCTION("""COMPUTED_VALUE"""),5)</f>
        <v>5</v>
      </c>
      <c r="E29" s="3"/>
      <c r="F29" s="6"/>
      <c r="G29" s="3"/>
      <c r="H29" s="3"/>
      <c r="I29" s="3"/>
      <c r="J29" s="3" t="str">
        <f ca="1">IFERROR(__xludf.DUMMYFUNCTION("""COMPUTED_VALUE"""),"Social Studies")</f>
        <v>Social Studies</v>
      </c>
      <c r="K29" s="3" t="str">
        <f ca="1">IFERROR(__xludf.DUMMYFUNCTION("""COMPUTED_VALUE"""),"Seventh")</f>
        <v>Seventh</v>
      </c>
      <c r="L29" s="3"/>
      <c r="M29" s="3"/>
      <c r="N29" s="3"/>
      <c r="O29" s="3"/>
      <c r="P29" s="3"/>
      <c r="Q29" s="3"/>
      <c r="R29" s="3"/>
      <c r="S29" s="3"/>
      <c r="T29" s="3" t="str">
        <f ca="1">IFERROR(__xludf.DUMMYFUNCTION("""COMPUTED_VALUE"""),"Whittier")</f>
        <v>Whittier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3" x14ac:dyDescent="0.15">
      <c r="A30" s="2">
        <f ca="1">IFERROR(__xludf.DUMMYFUNCTION("""COMPUTED_VALUE"""),45616.5459110879)</f>
        <v>45616.545911087902</v>
      </c>
      <c r="B30" s="3" t="str">
        <f ca="1">IFERROR(__xludf.DUMMYFUNCTION("""COMPUTED_VALUE"""),"kathrynes2@normanps.org")</f>
        <v>kathrynes2@normanps.org</v>
      </c>
      <c r="C30" s="3"/>
      <c r="D30" s="3"/>
      <c r="E30" s="3"/>
      <c r="F30" s="6"/>
      <c r="G30" s="3"/>
      <c r="H30" s="3"/>
      <c r="I30" s="3"/>
      <c r="J30" s="3"/>
      <c r="K30" s="3"/>
      <c r="L30" s="3"/>
      <c r="M30" s="3">
        <f ca="1">IFERROR(__xludf.DUMMYFUNCTION("""COMPUTED_VALUE"""),8)</f>
        <v>8</v>
      </c>
      <c r="N30" s="3"/>
      <c r="O30" s="3"/>
      <c r="P30" s="3"/>
      <c r="Q30" s="3"/>
      <c r="R30" s="3"/>
      <c r="S30" s="3"/>
      <c r="T30" s="3" t="str">
        <f ca="1">IFERROR(__xludf.DUMMYFUNCTION("""COMPUTED_VALUE"""),"Whittier")</f>
        <v>Whittier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3" x14ac:dyDescent="0.15">
      <c r="A31" s="2">
        <f ca="1">IFERROR(__xludf.DUMMYFUNCTION("""COMPUTED_VALUE"""),45618.3686445023)</f>
        <v>45618.368644502298</v>
      </c>
      <c r="B31" s="3" t="str">
        <f ca="1">IFERROR(__xludf.DUMMYFUNCTION("""COMPUTED_VALUE"""),"kathrynes2@normanps.org")</f>
        <v>kathrynes2@normanps.org</v>
      </c>
      <c r="C31" s="3"/>
      <c r="D31" s="3">
        <f ca="1">IFERROR(__xludf.DUMMYFUNCTION("""COMPUTED_VALUE"""),4)</f>
        <v>4</v>
      </c>
      <c r="E31" s="3"/>
      <c r="F31" s="6"/>
      <c r="G31" s="3">
        <f ca="1">IFERROR(__xludf.DUMMYFUNCTION("""COMPUTED_VALUE"""),6)</f>
        <v>6</v>
      </c>
      <c r="H31" s="3">
        <f ca="1">IFERROR(__xludf.DUMMYFUNCTION("""COMPUTED_VALUE"""),1)</f>
        <v>1</v>
      </c>
      <c r="I31" s="3" t="str">
        <f ca="1">IFERROR(__xludf.DUMMYFUNCTION("""COMPUTED_VALUE"""),"Inquire")</f>
        <v>Inquire</v>
      </c>
      <c r="J31" s="3" t="str">
        <f ca="1">IFERROR(__xludf.DUMMYFUNCTION("""COMPUTED_VALUE"""),"Social Studies")</f>
        <v>Social Studies</v>
      </c>
      <c r="K31" s="3" t="str">
        <f ca="1">IFERROR(__xludf.DUMMYFUNCTION("""COMPUTED_VALUE"""),"Seventh")</f>
        <v>Seventh</v>
      </c>
      <c r="L31" s="3"/>
      <c r="M31" s="3"/>
      <c r="N31" s="3"/>
      <c r="O31" s="3"/>
      <c r="P31" s="3" t="str">
        <f ca="1">IFERROR(__xludf.DUMMYFUNCTION("""COMPUTED_VALUE"""),"Pioneer Library")</f>
        <v>Pioneer Library</v>
      </c>
      <c r="Q31" s="3"/>
      <c r="R31" s="3" t="str">
        <f ca="1">IFERROR(__xludf.DUMMYFUNCTION("""COMPUTED_VALUE"""),"Book Club")</f>
        <v>Book Club</v>
      </c>
      <c r="S31" s="3"/>
      <c r="T31" s="3" t="str">
        <f ca="1">IFERROR(__xludf.DUMMYFUNCTION("""COMPUTED_VALUE"""),"Whittier")</f>
        <v>Whittier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3" x14ac:dyDescent="0.15">
      <c r="A32" s="2">
        <f ca="1">IFERROR(__xludf.DUMMYFUNCTION("""COMPUTED_VALUE"""),45618.3697391666)</f>
        <v>45618.369739166599</v>
      </c>
      <c r="B32" s="3" t="str">
        <f ca="1">IFERROR(__xludf.DUMMYFUNCTION("""COMPUTED_VALUE"""),"kathrynes2@normanps.org")</f>
        <v>kathrynes2@normanps.org</v>
      </c>
      <c r="C32" s="3"/>
      <c r="D32" s="3">
        <f ca="1">IFERROR(__xludf.DUMMYFUNCTION("""COMPUTED_VALUE"""),2)</f>
        <v>2</v>
      </c>
      <c r="E32" s="3"/>
      <c r="F32" s="6"/>
      <c r="G32" s="3"/>
      <c r="H32" s="3"/>
      <c r="I32" s="3" t="str">
        <f ca="1">IFERROR(__xludf.DUMMYFUNCTION("""COMPUTED_VALUE"""),"Explore")</f>
        <v>Explore</v>
      </c>
      <c r="J32" s="3" t="str">
        <f ca="1">IFERROR(__xludf.DUMMYFUNCTION("""COMPUTED_VALUE"""),"Art")</f>
        <v>Art</v>
      </c>
      <c r="K32" s="3" t="str">
        <f ca="1">IFERROR(__xludf.DUMMYFUNCTION("""COMPUTED_VALUE"""),"Seventh")</f>
        <v>Seventh</v>
      </c>
      <c r="L32" s="3"/>
      <c r="M32" s="3"/>
      <c r="N32" s="3"/>
      <c r="O32" s="3"/>
      <c r="P32" s="3" t="str">
        <f ca="1">IFERROR(__xludf.DUMMYFUNCTION("""COMPUTED_VALUE"""),"Pioneer Library")</f>
        <v>Pioneer Library</v>
      </c>
      <c r="Q32" s="3"/>
      <c r="R32" s="3" t="str">
        <f ca="1">IFERROR(__xludf.DUMMYFUNCTION("""COMPUTED_VALUE"""),"Pioneer Maker Library Recess")</f>
        <v>Pioneer Maker Library Recess</v>
      </c>
      <c r="S32" s="3"/>
      <c r="T32" s="3" t="str">
        <f ca="1">IFERROR(__xludf.DUMMYFUNCTION("""COMPUTED_VALUE"""),"Whittier")</f>
        <v>Whittier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15">
      <c r="A33" s="2">
        <f ca="1">IFERROR(__xludf.DUMMYFUNCTION("""COMPUTED_VALUE"""),45618.3701753935)</f>
        <v>45618.370175393502</v>
      </c>
      <c r="B33" s="3" t="str">
        <f ca="1">IFERROR(__xludf.DUMMYFUNCTION("""COMPUTED_VALUE"""),"kathrynes2@normanps.org")</f>
        <v>kathrynes2@normanps.org</v>
      </c>
      <c r="C33" s="3"/>
      <c r="D33" s="3"/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tr">
        <f ca="1">IFERROR(__xludf.DUMMYFUNCTION("""COMPUTED_VALUE"""),"Dead Center Film Festival")</f>
        <v>Dead Center Film Festival</v>
      </c>
      <c r="S33" s="3"/>
      <c r="T33" s="3" t="str">
        <f ca="1">IFERROR(__xludf.DUMMYFUNCTION("""COMPUTED_VALUE"""),"Whittier")</f>
        <v>Whittier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15">
      <c r="A34" s="2">
        <f ca="1">IFERROR(__xludf.DUMMYFUNCTION("""COMPUTED_VALUE"""),45618.370925868)</f>
        <v>45618.370925868003</v>
      </c>
      <c r="B34" s="3" t="str">
        <f ca="1">IFERROR(__xludf.DUMMYFUNCTION("""COMPUTED_VALUE"""),"kathrynes2@normanps.org")</f>
        <v>kathrynes2@normanps.org</v>
      </c>
      <c r="C34" s="3"/>
      <c r="D34" s="3">
        <f ca="1">IFERROR(__xludf.DUMMYFUNCTION("""COMPUTED_VALUE"""),4)</f>
        <v>4</v>
      </c>
      <c r="E34" s="3"/>
      <c r="F34" s="6"/>
      <c r="G34" s="3"/>
      <c r="H34" s="3"/>
      <c r="I34" s="3" t="str">
        <f ca="1">IFERROR(__xludf.DUMMYFUNCTION("""COMPUTED_VALUE"""),"Inquire")</f>
        <v>Inquire</v>
      </c>
      <c r="J34" s="3" t="str">
        <f ca="1">IFERROR(__xludf.DUMMYFUNCTION("""COMPUTED_VALUE"""),"Social Studies")</f>
        <v>Social Studies</v>
      </c>
      <c r="K34" s="3" t="str">
        <f ca="1">IFERROR(__xludf.DUMMYFUNCTION("""COMPUTED_VALUE"""),"Seventh")</f>
        <v>Seventh</v>
      </c>
      <c r="L34" s="3"/>
      <c r="M34" s="3"/>
      <c r="N34" s="3"/>
      <c r="O34" s="3"/>
      <c r="P34" s="3" t="str">
        <f ca="1">IFERROR(__xludf.DUMMYFUNCTION("""COMPUTED_VALUE"""),"Pioneer")</f>
        <v>Pioneer</v>
      </c>
      <c r="Q34" s="3" t="str">
        <f ca="1">IFERROR(__xludf.DUMMYFUNCTION("""COMPUTED_VALUE"""),"Sequoyah")</f>
        <v>Sequoyah</v>
      </c>
      <c r="R34" s="3" t="str">
        <f ca="1">IFERROR(__xludf.DUMMYFUNCTION("""COMPUTED_VALUE"""),"Sequoyah Book Club")</f>
        <v>Sequoyah Book Club</v>
      </c>
      <c r="S34" s="3">
        <f ca="1">IFERROR(__xludf.DUMMYFUNCTION("""COMPUTED_VALUE"""),2)</f>
        <v>2</v>
      </c>
      <c r="T34" s="3" t="str">
        <f ca="1">IFERROR(__xludf.DUMMYFUNCTION("""COMPUTED_VALUE"""),"Whittier")</f>
        <v>Whittier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15">
      <c r="A35" s="2">
        <f ca="1">IFERROR(__xludf.DUMMYFUNCTION("""COMPUTED_VALUE"""),45618.3728295717)</f>
        <v>45618.372829571701</v>
      </c>
      <c r="B35" s="3" t="str">
        <f ca="1">IFERROR(__xludf.DUMMYFUNCTION("""COMPUTED_VALUE"""),"kathrynes2@normanps.org")</f>
        <v>kathrynes2@normanps.org</v>
      </c>
      <c r="C35" s="3"/>
      <c r="D35" s="3"/>
      <c r="E35" s="3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 t="str">
        <f ca="1">IFERROR(__xludf.DUMMYFUNCTION("""COMPUTED_VALUE"""),"Leadership")</f>
        <v>Leadership</v>
      </c>
      <c r="R35" s="3"/>
      <c r="S35" s="3">
        <f ca="1">IFERROR(__xludf.DUMMYFUNCTION("""COMPUTED_VALUE"""),1)</f>
        <v>1</v>
      </c>
      <c r="T35" s="3" t="str">
        <f ca="1">IFERROR(__xludf.DUMMYFUNCTION("""COMPUTED_VALUE"""),"Whittier")</f>
        <v>Whittier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15">
      <c r="A36" s="2">
        <f ca="1">IFERROR(__xludf.DUMMYFUNCTION("""COMPUTED_VALUE"""),45618.3742385879)</f>
        <v>45618.374238587901</v>
      </c>
      <c r="B36" s="3" t="str">
        <f ca="1">IFERROR(__xludf.DUMMYFUNCTION("""COMPUTED_VALUE"""),"kathrynes2@normanps.org")</f>
        <v>kathrynes2@normanps.org</v>
      </c>
      <c r="C36" s="3"/>
      <c r="D36" s="3"/>
      <c r="E36" s="3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 t="str">
        <f ca="1">IFERROR(__xludf.DUMMYFUNCTION("""COMPUTED_VALUE"""),"STEM Tank")</f>
        <v>STEM Tank</v>
      </c>
      <c r="S36" s="3"/>
      <c r="T36" s="3" t="str">
        <f ca="1">IFERROR(__xludf.DUMMYFUNCTION("""COMPUTED_VALUE"""),"Whittier")</f>
        <v>Whittier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15">
      <c r="A37" s="2">
        <f ca="1">IFERROR(__xludf.DUMMYFUNCTION("""COMPUTED_VALUE"""),45635.3787058333)</f>
        <v>45635.378705833296</v>
      </c>
      <c r="B37" s="3" t="str">
        <f ca="1">IFERROR(__xludf.DUMMYFUNCTION("""COMPUTED_VALUE"""),"kathrynes2@normanps.org")</f>
        <v>kathrynes2@normanps.org</v>
      </c>
      <c r="C37" s="3"/>
      <c r="D37" s="3">
        <f ca="1">IFERROR(__xludf.DUMMYFUNCTION("""COMPUTED_VALUE"""),24)</f>
        <v>24</v>
      </c>
      <c r="E37" s="3"/>
      <c r="F37" s="6"/>
      <c r="G37" s="3"/>
      <c r="H37" s="3"/>
      <c r="I37" s="3" t="str">
        <f ca="1">IFERROR(__xludf.DUMMYFUNCTION("""COMPUTED_VALUE"""),"Inquire")</f>
        <v>Inquire</v>
      </c>
      <c r="J37" s="3" t="str">
        <f ca="1">IFERROR(__xludf.DUMMYFUNCTION("""COMPUTED_VALUE"""),"Social Studies")</f>
        <v>Social Studies</v>
      </c>
      <c r="K37" s="3" t="str">
        <f ca="1">IFERROR(__xludf.DUMMYFUNCTION("""COMPUTED_VALUE"""),"Seventh")</f>
        <v>Seventh</v>
      </c>
      <c r="L37" s="3"/>
      <c r="M37" s="3"/>
      <c r="N37" s="3"/>
      <c r="O37" s="3"/>
      <c r="P37" s="3"/>
      <c r="Q37" s="3" t="str">
        <f ca="1">IFERROR(__xludf.DUMMYFUNCTION("""COMPUTED_VALUE"""),"Leadership")</f>
        <v>Leadership</v>
      </c>
      <c r="R37" s="3" t="str">
        <f ca="1">IFERROR(__xludf.DUMMYFUNCTION("""COMPUTED_VALUE"""),"STEM Tank")</f>
        <v>STEM Tank</v>
      </c>
      <c r="S37" s="3">
        <f ca="1">IFERROR(__xludf.DUMMYFUNCTION("""COMPUTED_VALUE"""),1)</f>
        <v>1</v>
      </c>
      <c r="T37" s="3" t="str">
        <f ca="1">IFERROR(__xludf.DUMMYFUNCTION("""COMPUTED_VALUE"""),"Whittier")</f>
        <v>Whittier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15">
      <c r="A38" s="2">
        <f ca="1">IFERROR(__xludf.DUMMYFUNCTION("""COMPUTED_VALUE"""),45635.3791864583)</f>
        <v>45635.379186458304</v>
      </c>
      <c r="B38" s="3" t="str">
        <f ca="1">IFERROR(__xludf.DUMMYFUNCTION("""COMPUTED_VALUE"""),"kathrynes2@normanps.org")</f>
        <v>kathrynes2@normanps.org</v>
      </c>
      <c r="C38" s="3"/>
      <c r="D38" s="3">
        <f ca="1">IFERROR(__xludf.DUMMYFUNCTION("""COMPUTED_VALUE"""),1)</f>
        <v>1</v>
      </c>
      <c r="E38" s="3"/>
      <c r="F38" s="6"/>
      <c r="G38" s="3"/>
      <c r="H38" s="3"/>
      <c r="I38" s="3" t="str">
        <f ca="1">IFERROR(__xludf.DUMMYFUNCTION("""COMPUTED_VALUE"""),"Engage")</f>
        <v>Engage</v>
      </c>
      <c r="J38" s="3" t="str">
        <f ca="1">IFERROR(__xludf.DUMMYFUNCTION("""COMPUTED_VALUE"""),"ELA")</f>
        <v>ELA</v>
      </c>
      <c r="K38" s="3" t="str">
        <f ca="1">IFERROR(__xludf.DUMMYFUNCTION("""COMPUTED_VALUE"""),"Seventh")</f>
        <v>Seventh</v>
      </c>
      <c r="L38" s="3"/>
      <c r="M38" s="3"/>
      <c r="N38" s="3"/>
      <c r="O38" s="3"/>
      <c r="P38" s="3"/>
      <c r="Q38" s="3"/>
      <c r="R38" s="3"/>
      <c r="S38" s="3"/>
      <c r="T38" s="3" t="str">
        <f ca="1">IFERROR(__xludf.DUMMYFUNCTION("""COMPUTED_VALUE"""),"Whittier")</f>
        <v>Whittier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15">
      <c r="A39" s="2">
        <f ca="1">IFERROR(__xludf.DUMMYFUNCTION("""COMPUTED_VALUE"""),45637.5852201273)</f>
        <v>45637.585220127301</v>
      </c>
      <c r="B39" s="3" t="str">
        <f ca="1">IFERROR(__xludf.DUMMYFUNCTION("""COMPUTED_VALUE"""),"kathrynes2@normanps.org")</f>
        <v>kathrynes2@normanps.org</v>
      </c>
      <c r="C39" s="3"/>
      <c r="D39" s="3"/>
      <c r="E39" s="3"/>
      <c r="F39" s="6"/>
      <c r="G39" s="3"/>
      <c r="H39" s="3">
        <f ca="1">IFERROR(__xludf.DUMMYFUNCTION("""COMPUTED_VALUE"""),1)</f>
        <v>1</v>
      </c>
      <c r="I39" s="3"/>
      <c r="J39" s="3"/>
      <c r="K39" s="3"/>
      <c r="L39" s="3"/>
      <c r="M39" s="3">
        <f ca="1">IFERROR(__xludf.DUMMYFUNCTION("""COMPUTED_VALUE"""),6)</f>
        <v>6</v>
      </c>
      <c r="N39" s="3"/>
      <c r="O39" s="3"/>
      <c r="P39" s="3"/>
      <c r="Q39" s="3"/>
      <c r="R39" s="3"/>
      <c r="S39" s="3"/>
      <c r="T39" s="3" t="str">
        <f ca="1">IFERROR(__xludf.DUMMYFUNCTION("""COMPUTED_VALUE"""),"Whittier")</f>
        <v>Whittier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15">
      <c r="A40" s="2">
        <f ca="1">IFERROR(__xludf.DUMMYFUNCTION("""COMPUTED_VALUE"""),45644.5450178819)</f>
        <v>45644.545017881901</v>
      </c>
      <c r="B40" s="3" t="str">
        <f ca="1">IFERROR(__xludf.DUMMYFUNCTION("""COMPUTED_VALUE"""),"sschrank@normanps.org")</f>
        <v>sschrank@normanps.org</v>
      </c>
      <c r="C40" s="3">
        <f ca="1">IFERROR(__xludf.DUMMYFUNCTION("""COMPUTED_VALUE"""),1166)</f>
        <v>1166</v>
      </c>
      <c r="D40" s="3"/>
      <c r="E40" s="3"/>
      <c r="F40" s="6"/>
      <c r="G40" s="3"/>
      <c r="H40" s="3"/>
      <c r="I40" s="3"/>
      <c r="J40" s="3"/>
      <c r="K40" s="3"/>
      <c r="L40" s="3"/>
      <c r="M40" s="3"/>
      <c r="N40" s="3">
        <f ca="1">IFERROR(__xludf.DUMMYFUNCTION("""COMPUTED_VALUE"""),446)</f>
        <v>446</v>
      </c>
      <c r="O40" s="3"/>
      <c r="P40" s="3"/>
      <c r="Q40" s="3"/>
      <c r="R40" s="3"/>
      <c r="S40" s="3"/>
      <c r="T40" s="3" t="str">
        <f ca="1">IFERROR(__xludf.DUMMYFUNCTION("""COMPUTED_VALUE"""),"Whittier")</f>
        <v>Whittier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3" x14ac:dyDescent="0.15">
      <c r="A41" s="2">
        <f ca="1">IFERROR(__xludf.DUMMYFUNCTION("""COMPUTED_VALUE"""),45665.5400408333)</f>
        <v>45665.540040833301</v>
      </c>
      <c r="B41" s="3" t="str">
        <f ca="1">IFERROR(__xludf.DUMMYFUNCTION("""COMPUTED_VALUE"""),"kathrynes2@normanps.org")</f>
        <v>kathrynes2@normanps.org</v>
      </c>
      <c r="C41" s="3"/>
      <c r="D41" s="3">
        <f ca="1">IFERROR(__xludf.DUMMYFUNCTION("""COMPUTED_VALUE"""),8)</f>
        <v>8</v>
      </c>
      <c r="E41" s="3"/>
      <c r="F41" s="6"/>
      <c r="G41" s="3">
        <f ca="1">IFERROR(__xludf.DUMMYFUNCTION("""COMPUTED_VALUE"""),3)</f>
        <v>3</v>
      </c>
      <c r="H41" s="3">
        <f ca="1">IFERROR(__xludf.DUMMYFUNCTION("""COMPUTED_VALUE"""),5)</f>
        <v>5</v>
      </c>
      <c r="I41" s="3" t="str">
        <f ca="1">IFERROR(__xludf.DUMMYFUNCTION("""COMPUTED_VALUE"""),"Inquire")</f>
        <v>Inquire</v>
      </c>
      <c r="J41" s="3" t="str">
        <f ca="1">IFERROR(__xludf.DUMMYFUNCTION("""COMPUTED_VALUE"""),"ELA")</f>
        <v>ELA</v>
      </c>
      <c r="K41" s="3" t="str">
        <f ca="1">IFERROR(__xludf.DUMMYFUNCTION("""COMPUTED_VALUE"""),"Eighth")</f>
        <v>Eighth</v>
      </c>
      <c r="L41" s="3"/>
      <c r="M41" s="3"/>
      <c r="N41" s="3"/>
      <c r="O41" s="3"/>
      <c r="P41" s="3" t="str">
        <f ca="1">IFERROR(__xludf.DUMMYFUNCTION("""COMPUTED_VALUE"""),"Pioneer")</f>
        <v>Pioneer</v>
      </c>
      <c r="Q41" s="3"/>
      <c r="R41" s="3" t="str">
        <f ca="1">IFERROR(__xludf.DUMMYFUNCTION("""COMPUTED_VALUE"""),"Whittier Book Club")</f>
        <v>Whittier Book Club</v>
      </c>
      <c r="S41" s="3">
        <f ca="1">IFERROR(__xludf.DUMMYFUNCTION("""COMPUTED_VALUE"""),1)</f>
        <v>1</v>
      </c>
      <c r="T41" s="3" t="str">
        <f ca="1">IFERROR(__xludf.DUMMYFUNCTION("""COMPUTED_VALUE"""),"Whittier")</f>
        <v>Whittier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3" x14ac:dyDescent="0.15">
      <c r="A42" s="2">
        <f ca="1">IFERROR(__xludf.DUMMYFUNCTION("""COMPUTED_VALUE"""),45665.5403534027)</f>
        <v>45665.540353402699</v>
      </c>
      <c r="B42" s="3" t="str">
        <f ca="1">IFERROR(__xludf.DUMMYFUNCTION("""COMPUTED_VALUE"""),"kathrynes2@normanps.org")</f>
        <v>kathrynes2@normanps.org</v>
      </c>
      <c r="C42" s="3"/>
      <c r="D42" s="3"/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 t="str">
        <f ca="1">IFERROR(__xludf.DUMMYFUNCTION("""COMPUTED_VALUE"""),"STEM Tank")</f>
        <v>STEM Tank</v>
      </c>
      <c r="S42" s="3"/>
      <c r="T42" s="3" t="str">
        <f ca="1">IFERROR(__xludf.DUMMYFUNCTION("""COMPUTED_VALUE"""),"Whittier")</f>
        <v>Whittier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3" x14ac:dyDescent="0.15">
      <c r="A43" s="2">
        <f ca="1">IFERROR(__xludf.DUMMYFUNCTION("""COMPUTED_VALUE"""),45665.5426566898)</f>
        <v>45665.542656689802</v>
      </c>
      <c r="B43" s="3" t="str">
        <f ca="1">IFERROR(__xludf.DUMMYFUNCTION("""COMPUTED_VALUE"""),"kathrynes2@normanps.org")</f>
        <v>kathrynes2@normanps.org</v>
      </c>
      <c r="C43" s="3"/>
      <c r="D43" s="3"/>
      <c r="E43" s="3"/>
      <c r="F43" s="6"/>
      <c r="G43" s="3">
        <f ca="1">IFERROR(__xludf.DUMMYFUNCTION("""COMPUTED_VALUE"""),3)</f>
        <v>3</v>
      </c>
      <c r="H43" s="3"/>
      <c r="I43" s="3"/>
      <c r="J43" s="3"/>
      <c r="K43" s="3"/>
      <c r="L43" s="3"/>
      <c r="M43" s="3"/>
      <c r="N43" s="3"/>
      <c r="O43" s="3"/>
      <c r="P43" s="3" t="str">
        <f ca="1">IFERROR(__xludf.DUMMYFUNCTION("""COMPUTED_VALUE"""),"Pioneer")</f>
        <v>Pioneer</v>
      </c>
      <c r="Q43" s="3" t="str">
        <f ca="1">IFERROR(__xludf.DUMMYFUNCTION("""COMPUTED_VALUE"""),"Sequoyah Committee")</f>
        <v>Sequoyah Committee</v>
      </c>
      <c r="R43" s="3" t="str">
        <f ca="1">IFERROR(__xludf.DUMMYFUNCTION("""COMPUTED_VALUE"""),"Sequoyah Book Club")</f>
        <v>Sequoyah Book Club</v>
      </c>
      <c r="S43" s="3"/>
      <c r="T43" s="3" t="str">
        <f ca="1">IFERROR(__xludf.DUMMYFUNCTION("""COMPUTED_VALUE"""),"Whittier")</f>
        <v>Whittier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3" x14ac:dyDescent="0.15">
      <c r="A44" s="2">
        <f ca="1">IFERROR(__xludf.DUMMYFUNCTION("""COMPUTED_VALUE"""),45665.5432687963)</f>
        <v>45665.543268796297</v>
      </c>
      <c r="B44" s="3" t="str">
        <f ca="1">IFERROR(__xludf.DUMMYFUNCTION("""COMPUTED_VALUE"""),"kathrynes2@normanps.org")</f>
        <v>kathrynes2@normanps.org</v>
      </c>
      <c r="C44" s="3"/>
      <c r="D44" s="3"/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 t="str">
        <f ca="1">IFERROR(__xludf.DUMMYFUNCTION("""COMPUTED_VALUE"""),"BAM Subscription")</f>
        <v>BAM Subscription</v>
      </c>
      <c r="S44" s="3"/>
      <c r="T44" s="3" t="str">
        <f ca="1">IFERROR(__xludf.DUMMYFUNCTION("""COMPUTED_VALUE"""),"Whittier")</f>
        <v>Whittier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3" x14ac:dyDescent="0.15">
      <c r="A45" s="2">
        <f ca="1">IFERROR(__xludf.DUMMYFUNCTION("""COMPUTED_VALUE"""),45672.3483790856)</f>
        <v>45672.348379085597</v>
      </c>
      <c r="B45" s="3" t="str">
        <f ca="1">IFERROR(__xludf.DUMMYFUNCTION("""COMPUTED_VALUE"""),"sschrank@normanps.org")</f>
        <v>sschrank@normanps.org</v>
      </c>
      <c r="C45" s="3">
        <f ca="1">IFERROR(__xludf.DUMMYFUNCTION("""COMPUTED_VALUE"""),634)</f>
        <v>634</v>
      </c>
      <c r="D45" s="3"/>
      <c r="E45" s="3"/>
      <c r="F45" s="6"/>
      <c r="G45" s="3"/>
      <c r="H45" s="3"/>
      <c r="I45" s="3"/>
      <c r="J45" s="3"/>
      <c r="K45" s="3"/>
      <c r="L45" s="3"/>
      <c r="M45" s="3"/>
      <c r="N45" s="3">
        <f ca="1">IFERROR(__xludf.DUMMYFUNCTION("""COMPUTED_VALUE"""),351)</f>
        <v>351</v>
      </c>
      <c r="O45" s="3"/>
      <c r="P45" s="3"/>
      <c r="Q45" s="3"/>
      <c r="R45" s="3"/>
      <c r="S45" s="3"/>
      <c r="T45" s="3" t="str">
        <f ca="1">IFERROR(__xludf.DUMMYFUNCTION("""COMPUTED_VALUE"""),"Whittier")</f>
        <v>Whittier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3" x14ac:dyDescent="0.15">
      <c r="A46" s="2">
        <f ca="1">IFERROR(__xludf.DUMMYFUNCTION("""COMPUTED_VALUE"""),45693.4862834953)</f>
        <v>45693.486283495302</v>
      </c>
      <c r="B46" s="3" t="str">
        <f ca="1">IFERROR(__xludf.DUMMYFUNCTION("""COMPUTED_VALUE"""),"sschrank@normanps.org")</f>
        <v>sschrank@normanps.org</v>
      </c>
      <c r="C46" s="3">
        <f ca="1">IFERROR(__xludf.DUMMYFUNCTION("""COMPUTED_VALUE"""),637)</f>
        <v>637</v>
      </c>
      <c r="D46" s="3"/>
      <c r="E46" s="3"/>
      <c r="F46" s="6"/>
      <c r="G46" s="3"/>
      <c r="H46" s="3"/>
      <c r="I46" s="3"/>
      <c r="J46" s="3"/>
      <c r="K46" s="3"/>
      <c r="L46" s="3"/>
      <c r="M46" s="3"/>
      <c r="N46" s="3">
        <f ca="1">IFERROR(__xludf.DUMMYFUNCTION("""COMPUTED_VALUE"""),231)</f>
        <v>231</v>
      </c>
      <c r="O46" s="3"/>
      <c r="P46" s="3"/>
      <c r="Q46" s="3"/>
      <c r="R46" s="3"/>
      <c r="S46" s="3"/>
      <c r="T46" s="3" t="str">
        <f ca="1">IFERROR(__xludf.DUMMYFUNCTION("""COMPUTED_VALUE"""),"Whittier")</f>
        <v>Whittier</v>
      </c>
      <c r="U46" s="3"/>
      <c r="V46" s="3"/>
      <c r="W46" s="3"/>
      <c r="X46" s="3"/>
      <c r="Y46" s="3"/>
      <c r="Z46" s="3"/>
      <c r="AA46" s="3"/>
      <c r="AB46" s="3"/>
      <c r="AC46" s="3"/>
    </row>
    <row r="47" spans="1:29" ht="13" x14ac:dyDescent="0.15">
      <c r="A47" s="2">
        <f ca="1">IFERROR(__xludf.DUMMYFUNCTION("""COMPUTED_VALUE"""),45728.4347006481)</f>
        <v>45728.434700648097</v>
      </c>
      <c r="B47" s="3" t="str">
        <f ca="1">IFERROR(__xludf.DUMMYFUNCTION("""COMPUTED_VALUE"""),"kathrynes2@normanps.org")</f>
        <v>kathrynes2@normanps.org</v>
      </c>
      <c r="C47" s="3"/>
      <c r="D47" s="3"/>
      <c r="E47" s="3"/>
      <c r="F47" s="6"/>
      <c r="G47" s="3"/>
      <c r="H47" s="3"/>
      <c r="I47" s="3"/>
      <c r="J47" s="3"/>
      <c r="K47" s="3"/>
      <c r="L47" s="3"/>
      <c r="M47" s="3">
        <f ca="1">IFERROR(__xludf.DUMMYFUNCTION("""COMPUTED_VALUE"""),3)</f>
        <v>3</v>
      </c>
      <c r="N47" s="3"/>
      <c r="O47" s="3"/>
      <c r="P47" s="3"/>
      <c r="Q47" s="3"/>
      <c r="R47" s="3"/>
      <c r="S47" s="3"/>
      <c r="T47" s="3" t="str">
        <f ca="1">IFERROR(__xludf.DUMMYFUNCTION("""COMPUTED_VALUE"""),"Whittier")</f>
        <v>Whittier</v>
      </c>
      <c r="U47" s="3"/>
      <c r="V47" s="3"/>
      <c r="W47" s="3"/>
      <c r="X47" s="3"/>
      <c r="Y47" s="3"/>
      <c r="Z47" s="3"/>
      <c r="AA47" s="3"/>
      <c r="AB47" s="3"/>
      <c r="AC47" s="3"/>
    </row>
    <row r="48" spans="1:29" ht="13" x14ac:dyDescent="0.15">
      <c r="A48" s="2">
        <f ca="1">IFERROR(__xludf.DUMMYFUNCTION("""COMPUTED_VALUE"""),45740.4533411689)</f>
        <v>45740.453341168897</v>
      </c>
      <c r="B48" s="3" t="str">
        <f ca="1">IFERROR(__xludf.DUMMYFUNCTION("""COMPUTED_VALUE"""),"kathrynes2@normanps.org")</f>
        <v>kathrynes2@normanps.org</v>
      </c>
      <c r="C48" s="3"/>
      <c r="D48" s="3"/>
      <c r="E48" s="3"/>
      <c r="F48" s="6"/>
      <c r="G48" s="3"/>
      <c r="H48" s="3"/>
      <c r="I48" s="3"/>
      <c r="J48" s="3"/>
      <c r="K48" s="3"/>
      <c r="L48" s="3"/>
      <c r="M48" s="3">
        <f ca="1">IFERROR(__xludf.DUMMYFUNCTION("""COMPUTED_VALUE"""),24)</f>
        <v>24</v>
      </c>
      <c r="N48" s="3"/>
      <c r="O48" s="3"/>
      <c r="P48" s="3"/>
      <c r="Q48" s="3"/>
      <c r="R48" s="3"/>
      <c r="S48" s="3"/>
      <c r="T48" s="3" t="str">
        <f ca="1">IFERROR(__xludf.DUMMYFUNCTION("""COMPUTED_VALUE"""),"Whittier")</f>
        <v>Whittier</v>
      </c>
      <c r="U48" s="3"/>
      <c r="V48" s="3"/>
      <c r="W48" s="3"/>
      <c r="X48" s="3"/>
      <c r="Y48" s="3"/>
      <c r="Z48" s="3"/>
      <c r="AA48" s="3"/>
      <c r="AB48" s="3"/>
      <c r="AC48" s="3"/>
    </row>
    <row r="49" spans="1:29" ht="13" x14ac:dyDescent="0.15">
      <c r="A49" s="2">
        <f ca="1">IFERROR(__xludf.DUMMYFUNCTION("""COMPUTED_VALUE"""),45744.3976104629)</f>
        <v>45744.397610462896</v>
      </c>
      <c r="B49" s="3" t="str">
        <f ca="1">IFERROR(__xludf.DUMMYFUNCTION("""COMPUTED_VALUE"""),"kathrynes2@normanps.org")</f>
        <v>kathrynes2@normanps.org</v>
      </c>
      <c r="C49" s="3"/>
      <c r="D49" s="3"/>
      <c r="E49" s="3"/>
      <c r="F49" s="6"/>
      <c r="G49" s="3"/>
      <c r="H49" s="3"/>
      <c r="I49" s="3"/>
      <c r="J49" s="3"/>
      <c r="K49" s="3"/>
      <c r="L49" s="3"/>
      <c r="M49" s="3">
        <f ca="1">IFERROR(__xludf.DUMMYFUNCTION("""COMPUTED_VALUE"""),2)</f>
        <v>2</v>
      </c>
      <c r="N49" s="3"/>
      <c r="O49" s="3"/>
      <c r="P49" s="3"/>
      <c r="Q49" s="3"/>
      <c r="R49" s="3"/>
      <c r="S49" s="3"/>
      <c r="T49" s="3" t="str">
        <f ca="1">IFERROR(__xludf.DUMMYFUNCTION("""COMPUTED_VALUE"""),"Whittier")</f>
        <v>Whittier</v>
      </c>
      <c r="U49" s="3"/>
      <c r="V49" s="3"/>
      <c r="W49" s="3"/>
      <c r="X49" s="3"/>
      <c r="Y49" s="3"/>
      <c r="Z49" s="3"/>
      <c r="AA49" s="3"/>
      <c r="AB49" s="3"/>
      <c r="AC49" s="3"/>
    </row>
    <row r="50" spans="1:29" ht="13" x14ac:dyDescent="0.15">
      <c r="A50" s="2">
        <f ca="1">IFERROR(__xludf.DUMMYFUNCTION("""COMPUTED_VALUE"""),45744.4200370833)</f>
        <v>45744.420037083299</v>
      </c>
      <c r="B50" s="3" t="str">
        <f ca="1">IFERROR(__xludf.DUMMYFUNCTION("""COMPUTED_VALUE"""),"kathrynes2@normanps.org")</f>
        <v>kathrynes2@normanps.org</v>
      </c>
      <c r="C50" s="3"/>
      <c r="D50" s="3"/>
      <c r="E50" s="3"/>
      <c r="F50" s="6"/>
      <c r="G50" s="3"/>
      <c r="H50" s="3"/>
      <c r="I50" s="3"/>
      <c r="J50" s="3"/>
      <c r="K50" s="3"/>
      <c r="L50" s="3"/>
      <c r="M50" s="3">
        <f ca="1">IFERROR(__xludf.DUMMYFUNCTION("""COMPUTED_VALUE"""),7)</f>
        <v>7</v>
      </c>
      <c r="N50" s="3"/>
      <c r="O50" s="3"/>
      <c r="P50" s="3"/>
      <c r="Q50" s="3"/>
      <c r="R50" s="3"/>
      <c r="S50" s="3"/>
      <c r="T50" s="3" t="str">
        <f ca="1">IFERROR(__xludf.DUMMYFUNCTION("""COMPUTED_VALUE"""),"Whittier")</f>
        <v>Whittier</v>
      </c>
      <c r="U50" s="3"/>
      <c r="V50" s="3"/>
      <c r="W50" s="3"/>
      <c r="X50" s="3"/>
      <c r="Y50" s="3"/>
      <c r="Z50" s="3"/>
      <c r="AA50" s="3"/>
      <c r="AB50" s="3"/>
      <c r="AC50" s="3"/>
    </row>
    <row r="51" spans="1:29" ht="13" x14ac:dyDescent="0.15">
      <c r="A51" s="2">
        <f ca="1">IFERROR(__xludf.DUMMYFUNCTION("""COMPUTED_VALUE"""),45758.5879625578)</f>
        <v>45758.587962557802</v>
      </c>
      <c r="B51" s="3" t="str">
        <f ca="1">IFERROR(__xludf.DUMMYFUNCTION("""COMPUTED_VALUE"""),"kathrynes2@normanps.org")</f>
        <v>kathrynes2@normanps.org</v>
      </c>
      <c r="C51" s="3"/>
      <c r="D51" s="3"/>
      <c r="E51" s="3"/>
      <c r="F51" s="6"/>
      <c r="G51" s="3"/>
      <c r="H51" s="3"/>
      <c r="I51" s="3"/>
      <c r="J51" s="3"/>
      <c r="K51" s="3"/>
      <c r="L51" s="3"/>
      <c r="M51" s="3">
        <f ca="1">IFERROR(__xludf.DUMMYFUNCTION("""COMPUTED_VALUE"""),26)</f>
        <v>26</v>
      </c>
      <c r="N51" s="3"/>
      <c r="O51" s="3"/>
      <c r="P51" s="3"/>
      <c r="Q51" s="3"/>
      <c r="R51" s="3"/>
      <c r="S51" s="3"/>
      <c r="T51" s="3" t="str">
        <f ca="1">IFERROR(__xludf.DUMMYFUNCTION("""COMPUTED_VALUE"""),"Whittier")</f>
        <v>Whittier</v>
      </c>
      <c r="U51" s="3"/>
      <c r="V51" s="3"/>
      <c r="W51" s="3"/>
      <c r="X51" s="3"/>
      <c r="Y51" s="3"/>
      <c r="Z51" s="3"/>
      <c r="AA51" s="3"/>
      <c r="AB51" s="3"/>
      <c r="AC51" s="3"/>
    </row>
    <row r="52" spans="1:29" ht="13" x14ac:dyDescent="0.15">
      <c r="A52" s="2">
        <f ca="1">IFERROR(__xludf.DUMMYFUNCTION("""COMPUTED_VALUE"""),45770.3788616319)</f>
        <v>45770.3788616319</v>
      </c>
      <c r="B52" s="3" t="str">
        <f ca="1">IFERROR(__xludf.DUMMYFUNCTION("""COMPUTED_VALUE"""),"kathrynes2@normanps.org")</f>
        <v>kathrynes2@normanps.org</v>
      </c>
      <c r="C52" s="3"/>
      <c r="D52" s="3"/>
      <c r="E52" s="3"/>
      <c r="F52" s="6"/>
      <c r="G52" s="3"/>
      <c r="H52" s="3"/>
      <c r="I52" s="3"/>
      <c r="J52" s="3"/>
      <c r="K52" s="3"/>
      <c r="L52" s="3"/>
      <c r="M52" s="3">
        <f ca="1">IFERROR(__xludf.DUMMYFUNCTION("""COMPUTED_VALUE"""),61)</f>
        <v>61</v>
      </c>
      <c r="N52" s="3"/>
      <c r="O52" s="3"/>
      <c r="P52" s="3"/>
      <c r="Q52" s="3"/>
      <c r="R52" s="3"/>
      <c r="S52" s="3"/>
      <c r="T52" s="3" t="str">
        <f ca="1">IFERROR(__xludf.DUMMYFUNCTION("""COMPUTED_VALUE"""),"Whittier")</f>
        <v>Whittier</v>
      </c>
      <c r="U52" s="3"/>
      <c r="V52" s="3"/>
      <c r="W52" s="3"/>
      <c r="X52" s="3"/>
      <c r="Y52" s="3"/>
      <c r="Z52" s="3"/>
      <c r="AA52" s="3"/>
      <c r="AB52" s="3"/>
      <c r="AC52" s="3"/>
    </row>
    <row r="53" spans="1:29" ht="13" x14ac:dyDescent="0.15">
      <c r="A53" s="2">
        <f ca="1">IFERROR(__xludf.DUMMYFUNCTION("""COMPUTED_VALUE"""),45772.40616375)</f>
        <v>45772.406163749998</v>
      </c>
      <c r="B53" s="3" t="str">
        <f ca="1">IFERROR(__xludf.DUMMYFUNCTION("""COMPUTED_VALUE"""),"kathrynes2@normanps.org")</f>
        <v>kathrynes2@normanps.org</v>
      </c>
      <c r="C53" s="3"/>
      <c r="D53" s="3"/>
      <c r="E53" s="3"/>
      <c r="F53" s="6"/>
      <c r="G53" s="3"/>
      <c r="H53" s="3"/>
      <c r="I53" s="3"/>
      <c r="J53" s="3"/>
      <c r="K53" s="3"/>
      <c r="L53" s="3"/>
      <c r="M53" s="3">
        <f ca="1">IFERROR(__xludf.DUMMYFUNCTION("""COMPUTED_VALUE"""),29)</f>
        <v>29</v>
      </c>
      <c r="N53" s="3"/>
      <c r="O53" s="3"/>
      <c r="P53" s="3"/>
      <c r="Q53" s="3"/>
      <c r="R53" s="3"/>
      <c r="S53" s="3"/>
      <c r="T53" s="3" t="str">
        <f ca="1">IFERROR(__xludf.DUMMYFUNCTION("""COMPUTED_VALUE"""),"Whittier")</f>
        <v>Whittier</v>
      </c>
      <c r="U53" s="3"/>
      <c r="V53" s="3"/>
      <c r="W53" s="3"/>
      <c r="X53" s="3"/>
      <c r="Y53" s="3"/>
      <c r="Z53" s="3"/>
      <c r="AA53" s="3"/>
      <c r="AB53" s="3"/>
      <c r="AC53" s="3"/>
    </row>
    <row r="54" spans="1:29" ht="13" x14ac:dyDescent="0.15">
      <c r="A54" s="2">
        <f ca="1">IFERROR(__xludf.DUMMYFUNCTION("""COMPUTED_VALUE"""),45541.5974305555)</f>
        <v>45541.597430555499</v>
      </c>
      <c r="B54" s="3" t="str">
        <f ca="1">IFERROR(__xludf.DUMMYFUNCTION("""COMPUTED_VALUE"""),"akordelis2@normanps.org")</f>
        <v>akordelis2@normanps.org</v>
      </c>
      <c r="C54" s="3">
        <f ca="1">IFERROR(__xludf.DUMMYFUNCTION("""COMPUTED_VALUE"""),1)</f>
        <v>1</v>
      </c>
      <c r="D54" s="3">
        <f ca="1">IFERROR(__xludf.DUMMYFUNCTION("""COMPUTED_VALUE"""),1)</f>
        <v>1</v>
      </c>
      <c r="E54" s="3">
        <f ca="1">IFERROR(__xludf.DUMMYFUNCTION("""COMPUTED_VALUE"""),1)</f>
        <v>1</v>
      </c>
      <c r="F54" s="6">
        <f ca="1">IFERROR(__xludf.DUMMYFUNCTION("""COMPUTED_VALUE"""),1)</f>
        <v>1</v>
      </c>
      <c r="G54" s="3">
        <f ca="1">IFERROR(__xludf.DUMMYFUNCTION("""COMPUTED_VALUE"""),1)</f>
        <v>1</v>
      </c>
      <c r="H54" s="3">
        <f ca="1">IFERROR(__xludf.DUMMYFUNCTION("""COMPUTED_VALUE"""),1)</f>
        <v>1</v>
      </c>
      <c r="I54" s="3" t="str">
        <f ca="1">IFERROR(__xludf.DUMMYFUNCTION("""COMPUTED_VALUE"""),"Inquire")</f>
        <v>Inquire</v>
      </c>
      <c r="J54" s="3" t="str">
        <f ca="1">IFERROR(__xludf.DUMMYFUNCTION("""COMPUTED_VALUE"""),"ELA")</f>
        <v>ELA</v>
      </c>
      <c r="K54" s="3" t="str">
        <f ca="1">IFERROR(__xludf.DUMMYFUNCTION("""COMPUTED_VALUE"""),"Prek")</f>
        <v>Prek</v>
      </c>
      <c r="L54" s="3" t="str">
        <f ca="1">IFERROR(__xludf.DUMMYFUNCTION("""COMPUTED_VALUE"""),"Air Dry Clay")</f>
        <v>Air Dry Clay</v>
      </c>
      <c r="M54" s="3">
        <f ca="1">IFERROR(__xludf.DUMMYFUNCTION("""COMPUTED_VALUE"""),1)</f>
        <v>1</v>
      </c>
      <c r="N54" s="3">
        <f ca="1">IFERROR(__xludf.DUMMYFUNCTION("""COMPUTED_VALUE"""),1)</f>
        <v>1</v>
      </c>
      <c r="O54" s="3">
        <f ca="1">IFERROR(__xludf.DUMMYFUNCTION("""COMPUTED_VALUE"""),1)</f>
        <v>1</v>
      </c>
      <c r="P54" s="3" t="str">
        <f ca="1">IFERROR(__xludf.DUMMYFUNCTION("""COMPUTED_VALUE"""),"Pioneer")</f>
        <v>Pioneer</v>
      </c>
      <c r="Q54" s="3" t="str">
        <f ca="1">IFERROR(__xludf.DUMMYFUNCTION("""COMPUTED_VALUE"""),"OLA")</f>
        <v>OLA</v>
      </c>
      <c r="R54" s="3" t="str">
        <f ca="1">IFERROR(__xludf.DUMMYFUNCTION("""COMPUTED_VALUE"""),"Literacy Night")</f>
        <v>Literacy Night</v>
      </c>
      <c r="S54" s="3">
        <f ca="1">IFERROR(__xludf.DUMMYFUNCTION("""COMPUTED_VALUE"""),1)</f>
        <v>1</v>
      </c>
      <c r="T54" s="3" t="str">
        <f ca="1">IFERROR(__xludf.DUMMYFUNCTION("""COMPUTED_VALUE"""),"Whittier")</f>
        <v>Whittier</v>
      </c>
      <c r="U54" s="3"/>
      <c r="V54" s="3"/>
      <c r="W54" s="3"/>
      <c r="X54" s="3"/>
      <c r="Y54" s="3"/>
      <c r="Z54" s="3"/>
      <c r="AA54" s="3"/>
      <c r="AB54" s="3"/>
      <c r="AC54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J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63" customHeight="1" x14ac:dyDescent="0.15">
      <c r="A1" s="1" t="str">
        <f ca="1">IFERROR(__xludf.DUMMYFUNCTION("QUERY('District Data'!A:AC, ""SELECT * WHERE T = 'Norman High'"",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IFERROR(__xludf.DUMMYFUNCTION("""COMPUTED_VALUE"""),45532.6714354976)</f>
        <v>45532.671435497599</v>
      </c>
      <c r="B2" s="3" t="str">
        <f ca="1">IFERROR(__xludf.DUMMYFUNCTION("""COMPUTED_VALUE"""),"mpangburn@normanps.org")</f>
        <v>mpangburn@normanps.org</v>
      </c>
      <c r="C2" s="3"/>
      <c r="D2" s="3">
        <f ca="1">IFERROR(__xludf.DUMMYFUNCTION("""COMPUTED_VALUE"""),30)</f>
        <v>30</v>
      </c>
      <c r="E2" s="3"/>
      <c r="F2" s="6"/>
      <c r="G2" s="3"/>
      <c r="H2" s="3"/>
      <c r="I2" s="3"/>
      <c r="J2" s="3"/>
      <c r="K2" s="3"/>
      <c r="L2" s="3" t="str">
        <f ca="1">IFERROR(__xludf.DUMMYFUNCTION("""COMPUTED_VALUE"""),"button maker")</f>
        <v>button maker</v>
      </c>
      <c r="M2" s="3"/>
      <c r="N2" s="3"/>
      <c r="O2" s="3"/>
      <c r="P2" s="3" t="str">
        <f ca="1">IFERROR(__xludf.DUMMYFUNCTION("""COMPUTED_VALUE"""),"Pioneer Library System")</f>
        <v>Pioneer Library System</v>
      </c>
      <c r="Q2" s="3"/>
      <c r="R2" s="3"/>
      <c r="S2" s="3"/>
      <c r="T2" s="3" t="str">
        <f ca="1">IFERROR(__xludf.DUMMYFUNCTION("""COMPUTED_VALUE"""),"Norman High")</f>
        <v>Norman High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IFERROR(__xludf.DUMMYFUNCTION("""COMPUTED_VALUE"""),45538.4108724421)</f>
        <v>45538.410872442102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IFERROR(__xludf.DUMMYFUNCTION("""COMPUTED_VALUE"""),972)</f>
        <v>972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IFERROR(__xludf.DUMMYFUNCTION("""COMPUTED_VALUE"""),84)</f>
        <v>84</v>
      </c>
      <c r="O3" s="3">
        <f ca="1">IFERROR(__xludf.DUMMYFUNCTION("""COMPUTED_VALUE"""),6685)</f>
        <v>6685</v>
      </c>
      <c r="P3" s="3"/>
      <c r="Q3" s="3"/>
      <c r="R3" s="3"/>
      <c r="S3" s="3"/>
      <c r="T3" s="3" t="str">
        <f ca="1">IFERROR(__xludf.DUMMYFUNCTION("""COMPUTED_VALUE"""),"Norman High")</f>
        <v>Norman High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IFERROR(__xludf.DUMMYFUNCTION("""COMPUTED_VALUE"""),45538.680530162)</f>
        <v>45538.680530161997</v>
      </c>
      <c r="B4" s="3" t="str">
        <f ca="1">IFERROR(__xludf.DUMMYFUNCTION("""COMPUTED_VALUE"""),"mpangburn@normanps.org")</f>
        <v>mpangburn@normanps.org</v>
      </c>
      <c r="C4" s="3"/>
      <c r="D4" s="3">
        <f ca="1">IFERROR(__xludf.DUMMYFUNCTION("""COMPUTED_VALUE"""),20)</f>
        <v>20</v>
      </c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 t="str">
        <f ca="1">IFERROR(__xludf.DUMMYFUNCTION("""COMPUTED_VALUE"""),"AP Seminar visit to OU Bizzell Library")</f>
        <v>AP Seminar visit to OU Bizzell Library</v>
      </c>
      <c r="S4" s="3"/>
      <c r="T4" s="3" t="str">
        <f ca="1">IFERROR(__xludf.DUMMYFUNCTION("""COMPUTED_VALUE"""),"Norman High")</f>
        <v>Norman High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IFERROR(__xludf.DUMMYFUNCTION("""COMPUTED_VALUE"""),45545.3462016319)</f>
        <v>45545.346201631903</v>
      </c>
      <c r="B5" s="3" t="str">
        <f ca="1">IFERROR(__xludf.DUMMYFUNCTION("""COMPUTED_VALUE"""),"mpangburn@normanps.org")</f>
        <v>mpangburn@normanps.org</v>
      </c>
      <c r="C5" s="3"/>
      <c r="D5" s="3">
        <f ca="1">IFERROR(__xludf.DUMMYFUNCTION("""COMPUTED_VALUE"""),11)</f>
        <v>11</v>
      </c>
      <c r="E5" s="3"/>
      <c r="F5" s="6"/>
      <c r="G5" s="3">
        <f ca="1">IFERROR(__xludf.DUMMYFUNCTION("""COMPUTED_VALUE"""),3)</f>
        <v>3</v>
      </c>
      <c r="H5" s="3"/>
      <c r="I5" s="3"/>
      <c r="J5" s="3"/>
      <c r="K5" s="3"/>
      <c r="L5" s="3" t="str">
        <f ca="1">IFERROR(__xludf.DUMMYFUNCTION("""COMPUTED_VALUE"""),"button maker")</f>
        <v>button maker</v>
      </c>
      <c r="M5" s="3"/>
      <c r="N5" s="3"/>
      <c r="O5" s="3"/>
      <c r="P5" s="3"/>
      <c r="Q5" s="3"/>
      <c r="R5" s="3"/>
      <c r="S5" s="3"/>
      <c r="T5" s="3" t="str">
        <f ca="1">IFERROR(__xludf.DUMMYFUNCTION("""COMPUTED_VALUE"""),"Norman High")</f>
        <v>Norman High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IFERROR(__xludf.DUMMYFUNCTION("""COMPUTED_VALUE"""),45552.3860366782)</f>
        <v>45552.386036678203</v>
      </c>
      <c r="B6" s="3" t="str">
        <f ca="1">IFERROR(__xludf.DUMMYFUNCTION("""COMPUTED_VALUE"""),"mpangburn@normanps.org")</f>
        <v>mpangburn@normanps.org</v>
      </c>
      <c r="C6" s="3"/>
      <c r="D6" s="3">
        <f ca="1">IFERROR(__xludf.DUMMYFUNCTION("""COMPUTED_VALUE"""),6)</f>
        <v>6</v>
      </c>
      <c r="E6" s="3"/>
      <c r="F6" s="6"/>
      <c r="G6" s="3">
        <f ca="1">IFERROR(__xludf.DUMMYFUNCTION("""COMPUTED_VALUE"""),3)</f>
        <v>3</v>
      </c>
      <c r="H6" s="3"/>
      <c r="I6" s="3"/>
      <c r="J6" s="3"/>
      <c r="K6" s="3"/>
      <c r="L6" s="3"/>
      <c r="M6" s="3"/>
      <c r="N6" s="3"/>
      <c r="O6" s="3"/>
      <c r="P6" s="3" t="str">
        <f ca="1">IFERROR(__xludf.DUMMYFUNCTION("""COMPUTED_VALUE"""),"OU Libraries")</f>
        <v>OU Libraries</v>
      </c>
      <c r="Q6" s="3" t="str">
        <f ca="1">IFERROR(__xludf.DUMMYFUNCTION("""COMPUTED_VALUE"""),"OU SLIS Alumni Board")</f>
        <v>OU SLIS Alumni Board</v>
      </c>
      <c r="R6" s="3" t="str">
        <f ca="1">IFERROR(__xludf.DUMMYFUNCTION("""COMPUTED_VALUE"""),"Book Club")</f>
        <v>Book Club</v>
      </c>
      <c r="S6" s="3"/>
      <c r="T6" s="3" t="str">
        <f ca="1">IFERROR(__xludf.DUMMYFUNCTION("""COMPUTED_VALUE"""),"Norman High")</f>
        <v>Norman High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IFERROR(__xludf.DUMMYFUNCTION("""COMPUTED_VALUE"""),45559.3817357523)</f>
        <v>45559.3817357523</v>
      </c>
      <c r="B7" s="3" t="str">
        <f ca="1">IFERROR(__xludf.DUMMYFUNCTION("""COMPUTED_VALUE"""),"mpangburn@normanps.org")</f>
        <v>mpangburn@normanps.org</v>
      </c>
      <c r="C7" s="3"/>
      <c r="D7" s="3">
        <f ca="1">IFERROR(__xludf.DUMMYFUNCTION("""COMPUTED_VALUE"""),1)</f>
        <v>1</v>
      </c>
      <c r="E7" s="3"/>
      <c r="F7" s="6"/>
      <c r="G7" s="3">
        <f ca="1">IFERROR(__xludf.DUMMYFUNCTION("""COMPUTED_VALUE"""),3)</f>
        <v>3</v>
      </c>
      <c r="H7" s="3"/>
      <c r="I7" s="3"/>
      <c r="J7" s="3"/>
      <c r="K7" s="3"/>
      <c r="L7" s="3"/>
      <c r="M7" s="3"/>
      <c r="N7" s="3"/>
      <c r="O7" s="3"/>
      <c r="P7" s="3" t="str">
        <f ca="1">IFERROR(__xludf.DUMMYFUNCTION("""COMPUTED_VALUE"""),"League of Women Voters")</f>
        <v>League of Women Voters</v>
      </c>
      <c r="Q7" s="3"/>
      <c r="R7" s="3" t="str">
        <f ca="1">IFERROR(__xludf.DUMMYFUNCTION("""COMPUTED_VALUE"""),"Voter Registration Drive")</f>
        <v>Voter Registration Drive</v>
      </c>
      <c r="S7" s="3"/>
      <c r="T7" s="3" t="str">
        <f ca="1">IFERROR(__xludf.DUMMYFUNCTION("""COMPUTED_VALUE"""),"Norman High")</f>
        <v>Norman High</v>
      </c>
      <c r="U7" s="3"/>
      <c r="V7" s="3"/>
      <c r="W7" s="3"/>
      <c r="X7" s="3"/>
      <c r="Y7" s="3"/>
      <c r="Z7" s="3"/>
      <c r="AA7" s="3"/>
      <c r="AB7" s="3"/>
      <c r="AC7" s="3"/>
    </row>
    <row r="8" spans="1:36" ht="13" x14ac:dyDescent="0.15">
      <c r="A8" s="2">
        <f ca="1">IFERROR(__xludf.DUMMYFUNCTION("""COMPUTED_VALUE"""),45568.6216486689)</f>
        <v>45568.621648668901</v>
      </c>
      <c r="B8" s="3" t="str">
        <f ca="1">IFERROR(__xludf.DUMMYFUNCTION("""COMPUTED_VALUE"""),"mpangburn@normanps.org")</f>
        <v>mpangburn@normanps.org</v>
      </c>
      <c r="C8" s="3"/>
      <c r="D8" s="3">
        <f ca="1">IFERROR(__xludf.DUMMYFUNCTION("""COMPUTED_VALUE"""),1)</f>
        <v>1</v>
      </c>
      <c r="E8" s="3"/>
      <c r="F8" s="6"/>
      <c r="G8" s="3">
        <f ca="1">IFERROR(__xludf.DUMMYFUNCTION("""COMPUTED_VALUE"""),4)</f>
        <v>4</v>
      </c>
      <c r="H8" s="3"/>
      <c r="I8" s="3"/>
      <c r="J8" s="3"/>
      <c r="K8" s="3"/>
      <c r="L8" s="3" t="str">
        <f ca="1">IFERROR(__xludf.DUMMYFUNCTION("""COMPUTED_VALUE"""),"shrinky dinks")</f>
        <v>shrinky dinks</v>
      </c>
      <c r="M8" s="3"/>
      <c r="N8" s="3"/>
      <c r="O8" s="3"/>
      <c r="P8" s="3"/>
      <c r="Q8" s="3"/>
      <c r="R8" s="3"/>
      <c r="S8" s="3"/>
      <c r="T8" s="3" t="str">
        <f ca="1">IFERROR(__xludf.DUMMYFUNCTION("""COMPUTED_VALUE"""),"Norman High")</f>
        <v>Norman High</v>
      </c>
      <c r="U8" s="3"/>
      <c r="V8" s="3"/>
      <c r="W8" s="3"/>
      <c r="X8" s="3"/>
      <c r="Y8" s="3"/>
      <c r="Z8" s="3"/>
      <c r="AA8" s="3"/>
      <c r="AB8" s="3"/>
      <c r="AC8" s="3"/>
    </row>
    <row r="9" spans="1:36" ht="13" x14ac:dyDescent="0.15">
      <c r="A9" s="2">
        <f ca="1">IFERROR(__xludf.DUMMYFUNCTION("""COMPUTED_VALUE"""),45573.4219806481)</f>
        <v>45573.421980648098</v>
      </c>
      <c r="B9" s="3" t="str">
        <f ca="1">IFERROR(__xludf.DUMMYFUNCTION("""COMPUTED_VALUE"""),"sschrank@normanps.org")</f>
        <v>sschrank@normanps.org</v>
      </c>
      <c r="C9" s="3">
        <f ca="1">IFERROR(__xludf.DUMMYFUNCTION("""COMPUTED_VALUE"""),461)</f>
        <v>461</v>
      </c>
      <c r="D9" s="3"/>
      <c r="E9" s="3"/>
      <c r="F9" s="6"/>
      <c r="G9" s="3"/>
      <c r="H9" s="3"/>
      <c r="I9" s="3"/>
      <c r="J9" s="3"/>
      <c r="K9" s="3"/>
      <c r="L9" s="3"/>
      <c r="M9" s="3"/>
      <c r="N9" s="3">
        <f ca="1">IFERROR(__xludf.DUMMYFUNCTION("""COMPUTED_VALUE"""),193)</f>
        <v>193</v>
      </c>
      <c r="O9" s="3"/>
      <c r="P9" s="3"/>
      <c r="Q9" s="3"/>
      <c r="R9" s="3"/>
      <c r="S9" s="3"/>
      <c r="T9" s="3" t="str">
        <f ca="1">IFERROR(__xludf.DUMMYFUNCTION("""COMPUTED_VALUE"""),"Norman High")</f>
        <v>Norman High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3" x14ac:dyDescent="0.15">
      <c r="A10" s="2">
        <f ca="1">IFERROR(__xludf.DUMMYFUNCTION("""COMPUTED_VALUE"""),45586.5403684259)</f>
        <v>45586.5403684259</v>
      </c>
      <c r="B10" s="3" t="str">
        <f ca="1">IFERROR(__xludf.DUMMYFUNCTION("""COMPUTED_VALUE"""),"mpangburn@normanps.org")</f>
        <v>mpangburn@normanps.org</v>
      </c>
      <c r="C10" s="3"/>
      <c r="D10" s="3">
        <f ca="1">IFERROR(__xludf.DUMMYFUNCTION("""COMPUTED_VALUE"""),15)</f>
        <v>15</v>
      </c>
      <c r="E10" s="3"/>
      <c r="F10" s="6">
        <f ca="1">IFERROR(__xludf.DUMMYFUNCTION("""COMPUTED_VALUE"""),934)</f>
        <v>934</v>
      </c>
      <c r="G10" s="3">
        <f ca="1">IFERROR(__xludf.DUMMYFUNCTION("""COMPUTED_VALUE"""),5)</f>
        <v>5</v>
      </c>
      <c r="H10" s="3">
        <f ca="1">IFERROR(__xludf.DUMMYFUNCTION("""COMPUTED_VALUE"""),60)</f>
        <v>60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f ca="1">IFERROR(__xludf.DUMMYFUNCTION("""COMPUTED_VALUE"""),2)</f>
        <v>2</v>
      </c>
      <c r="T10" s="3" t="str">
        <f ca="1">IFERROR(__xludf.DUMMYFUNCTION("""COMPUTED_VALUE"""),"Norman High")</f>
        <v>Norman High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3" x14ac:dyDescent="0.15">
      <c r="A11" s="2">
        <f ca="1">IFERROR(__xludf.DUMMYFUNCTION("""COMPUTED_VALUE"""),45586.5950958333)</f>
        <v>45586.595095833298</v>
      </c>
      <c r="B11" s="3" t="str">
        <f ca="1">IFERROR(__xludf.DUMMYFUNCTION("""COMPUTED_VALUE"""),"mpangburn@normanps.org")</f>
        <v>mpangburn@normanps.org</v>
      </c>
      <c r="C11" s="3"/>
      <c r="D11" s="3"/>
      <c r="E11" s="3"/>
      <c r="F11" s="6"/>
      <c r="G11" s="3"/>
      <c r="H11" s="3"/>
      <c r="I11" s="3"/>
      <c r="J11" s="3"/>
      <c r="K11" s="3"/>
      <c r="L11" s="3"/>
      <c r="M11" s="3">
        <f ca="1">IFERROR(__xludf.DUMMYFUNCTION("""COMPUTED_VALUE"""),65)</f>
        <v>65</v>
      </c>
      <c r="N11" s="3"/>
      <c r="O11" s="3"/>
      <c r="P11" s="3"/>
      <c r="Q11" s="3"/>
      <c r="R11" s="3"/>
      <c r="S11" s="3"/>
      <c r="T11" s="3" t="str">
        <f ca="1">IFERROR(__xludf.DUMMYFUNCTION("""COMPUTED_VALUE"""),"Norman High")</f>
        <v>Norman High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3" x14ac:dyDescent="0.15">
      <c r="A12" s="2">
        <f ca="1">IFERROR(__xludf.DUMMYFUNCTION("""COMPUTED_VALUE"""),45609.3846112152)</f>
        <v>45609.384611215202</v>
      </c>
      <c r="B12" s="3" t="str">
        <f ca="1">IFERROR(__xludf.DUMMYFUNCTION("""COMPUTED_VALUE"""),"mpangburn@normanps.org")</f>
        <v>mpangburn@normanps.org</v>
      </c>
      <c r="C12" s="3"/>
      <c r="D12" s="3">
        <f ca="1">IFERROR(__xludf.DUMMYFUNCTION("""COMPUTED_VALUE"""),8)</f>
        <v>8</v>
      </c>
      <c r="E12" s="3"/>
      <c r="F12" s="6">
        <f ca="1">IFERROR(__xludf.DUMMYFUNCTION("""COMPUTED_VALUE"""),1403)</f>
        <v>1403</v>
      </c>
      <c r="G12" s="3">
        <f ca="1">IFERROR(__xludf.DUMMYFUNCTION("""COMPUTED_VALUE"""),9)</f>
        <v>9</v>
      </c>
      <c r="H12" s="3">
        <f ca="1">IFERROR(__xludf.DUMMYFUNCTION("""COMPUTED_VALUE"""),35)</f>
        <v>35</v>
      </c>
      <c r="I12" s="3" t="str">
        <f ca="1">IFERROR(__xludf.DUMMYFUNCTION("""COMPUTED_VALUE"""),"Curate")</f>
        <v>Curate</v>
      </c>
      <c r="J12" s="3" t="str">
        <f ca="1">IFERROR(__xludf.DUMMYFUNCTION("""COMPUTED_VALUE"""),"ELA")</f>
        <v>ELA</v>
      </c>
      <c r="K12" s="3" t="str">
        <f ca="1">IFERROR(__xludf.DUMMYFUNCTION("""COMPUTED_VALUE"""),"Twelfth")</f>
        <v>Twelfth</v>
      </c>
      <c r="L12" s="3" t="str">
        <f ca="1">IFERROR(__xludf.DUMMYFUNCTION("""COMPUTED_VALUE"""),"shrinky dinks")</f>
        <v>shrinky dinks</v>
      </c>
      <c r="M12" s="3"/>
      <c r="N12" s="3"/>
      <c r="O12" s="3"/>
      <c r="P12" s="3" t="str">
        <f ca="1">IFERROR(__xludf.DUMMYFUNCTION("""COMPUTED_VALUE"""),"OU Libraries")</f>
        <v>OU Libraries</v>
      </c>
      <c r="Q12" s="3"/>
      <c r="R12" s="3" t="str">
        <f ca="1">IFERROR(__xludf.DUMMYFUNCTION("""COMPUTED_VALUE"""),"AP Research visit to OU Bizzell Library")</f>
        <v>AP Research visit to OU Bizzell Library</v>
      </c>
      <c r="S12" s="3"/>
      <c r="T12" s="3" t="str">
        <f ca="1">IFERROR(__xludf.DUMMYFUNCTION("""COMPUTED_VALUE"""),"Norman High")</f>
        <v>Norman High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3" x14ac:dyDescent="0.15">
      <c r="A13" s="2">
        <f ca="1">IFERROR(__xludf.DUMMYFUNCTION("""COMPUTED_VALUE"""),45609.3858680208)</f>
        <v>45609.3858680208</v>
      </c>
      <c r="B13" s="3" t="str">
        <f ca="1">IFERROR(__xludf.DUMMYFUNCTION("""COMPUTED_VALUE"""),"mpangburn@normanps.org")</f>
        <v>mpangburn@normanps.org</v>
      </c>
      <c r="C13" s="3"/>
      <c r="D13" s="3">
        <f ca="1">IFERROR(__xludf.DUMMYFUNCTION("""COMPUTED_VALUE"""),3)</f>
        <v>3</v>
      </c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 t="str">
        <f ca="1">IFERROR(__xludf.DUMMYFUNCTION("""COMPUTED_VALUE"""),"Pioneer Library System")</f>
        <v>Pioneer Library System</v>
      </c>
      <c r="Q13" s="3"/>
      <c r="R13" s="3" t="str">
        <f ca="1">IFERROR(__xludf.DUMMYFUNCTION("""COMPUTED_VALUE"""),"Makerspace Open Hours with Pioneer")</f>
        <v>Makerspace Open Hours with Pioneer</v>
      </c>
      <c r="S13" s="3"/>
      <c r="T13" s="3" t="str">
        <f ca="1">IFERROR(__xludf.DUMMYFUNCTION("""COMPUTED_VALUE"""),"Norman High")</f>
        <v>Norman High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3" x14ac:dyDescent="0.15">
      <c r="A14" s="2">
        <f ca="1">IFERROR(__xludf.DUMMYFUNCTION("""COMPUTED_VALUE"""),45609.3869329745)</f>
        <v>45609.386932974499</v>
      </c>
      <c r="B14" s="3" t="str">
        <f ca="1">IFERROR(__xludf.DUMMYFUNCTION("""COMPUTED_VALUE"""),"mpangburn@normanps.org")</f>
        <v>mpangburn@normanps.org</v>
      </c>
      <c r="C14" s="3"/>
      <c r="D14" s="3">
        <f ca="1">IFERROR(__xludf.DUMMYFUNCTION("""COMPUTED_VALUE"""),15)</f>
        <v>15</v>
      </c>
      <c r="E14" s="3"/>
      <c r="F14" s="6"/>
      <c r="G14" s="3"/>
      <c r="H14" s="3"/>
      <c r="I14" s="3" t="str">
        <f ca="1">IFERROR(__xludf.DUMMYFUNCTION("""COMPUTED_VALUE"""),"Inquire")</f>
        <v>Inquire</v>
      </c>
      <c r="J14" s="3" t="str">
        <f ca="1">IFERROR(__xludf.DUMMYFUNCTION("""COMPUTED_VALUE"""),"Science")</f>
        <v>Science</v>
      </c>
      <c r="K14" s="3" t="str">
        <f ca="1">IFERROR(__xludf.DUMMYFUNCTION("""COMPUTED_VALUE"""),"Ninth")</f>
        <v>Ninth</v>
      </c>
      <c r="L14" s="3"/>
      <c r="M14" s="3"/>
      <c r="N14" s="3"/>
      <c r="O14" s="3"/>
      <c r="P14" s="3"/>
      <c r="Q14" s="3"/>
      <c r="R14" s="3" t="str">
        <f ca="1">IFERROR(__xludf.DUMMYFUNCTION("""COMPUTED_VALUE"""),"Book Club")</f>
        <v>Book Club</v>
      </c>
      <c r="S14" s="3"/>
      <c r="T14" s="3" t="str">
        <f ca="1">IFERROR(__xludf.DUMMYFUNCTION("""COMPUTED_VALUE"""),"Norman High")</f>
        <v>Norman High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3" x14ac:dyDescent="0.15">
      <c r="A15" s="2">
        <f ca="1">IFERROR(__xludf.DUMMYFUNCTION("""COMPUTED_VALUE"""),45609.3882483912)</f>
        <v>45609.388248391202</v>
      </c>
      <c r="B15" s="3" t="str">
        <f ca="1">IFERROR(__xludf.DUMMYFUNCTION("""COMPUTED_VALUE"""),"mpangburn@normanps.org")</f>
        <v>mpangburn@normanps.org</v>
      </c>
      <c r="C15" s="3"/>
      <c r="D15" s="3">
        <f ca="1">IFERROR(__xludf.DUMMYFUNCTION("""COMPUTED_VALUE"""),2)</f>
        <v>2</v>
      </c>
      <c r="E15" s="3"/>
      <c r="F15" s="6">
        <f ca="1">IFERROR(__xludf.DUMMYFUNCTION("""COMPUTED_VALUE"""),1243)</f>
        <v>1243</v>
      </c>
      <c r="G15" s="3"/>
      <c r="H15" s="3"/>
      <c r="I15" s="3" t="str">
        <f ca="1">IFERROR(__xludf.DUMMYFUNCTION("""COMPUTED_VALUE"""),"Collaborate")</f>
        <v>Collaborate</v>
      </c>
      <c r="J15" s="3" t="str">
        <f ca="1">IFERROR(__xludf.DUMMYFUNCTION("""COMPUTED_VALUE"""),"Science")</f>
        <v>Science</v>
      </c>
      <c r="K15" s="3" t="str">
        <f ca="1">IFERROR(__xludf.DUMMYFUNCTION("""COMPUTED_VALUE"""),"HS multi-grade class")</f>
        <v>HS multi-grade class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IFERROR(__xludf.DUMMYFUNCTION("""COMPUTED_VALUE"""),"Norman High")</f>
        <v>Norman High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3" x14ac:dyDescent="0.15">
      <c r="A16" s="2">
        <f ca="1">IFERROR(__xludf.DUMMYFUNCTION("""COMPUTED_VALUE"""),45609.389575625)</f>
        <v>45609.389575624999</v>
      </c>
      <c r="B16" s="3" t="str">
        <f ca="1">IFERROR(__xludf.DUMMYFUNCTION("""COMPUTED_VALUE"""),"mpangburn@normanps.org")</f>
        <v>mpangburn@normanps.org</v>
      </c>
      <c r="C16" s="3"/>
      <c r="D16" s="3">
        <f ca="1">IFERROR(__xludf.DUMMYFUNCTION("""COMPUTED_VALUE"""),3)</f>
        <v>3</v>
      </c>
      <c r="E16" s="3"/>
      <c r="F16" s="6"/>
      <c r="G16" s="3"/>
      <c r="H16" s="3"/>
      <c r="I16" s="3"/>
      <c r="J16" s="3" t="str">
        <f ca="1">IFERROR(__xludf.DUMMYFUNCTION("""COMPUTED_VALUE"""),"Art")</f>
        <v>Art</v>
      </c>
      <c r="K16" s="3" t="str">
        <f ca="1">IFERROR(__xludf.DUMMYFUNCTION("""COMPUTED_VALUE"""),"HS multi-grade class")</f>
        <v>HS multi-grade class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IFERROR(__xludf.DUMMYFUNCTION("""COMPUTED_VALUE"""),"Norman High")</f>
        <v>Norman High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3" x14ac:dyDescent="0.15">
      <c r="A17" s="2">
        <f ca="1">IFERROR(__xludf.DUMMYFUNCTION("""COMPUTED_VALUE"""),45629.4431517013)</f>
        <v>45629.4431517013</v>
      </c>
      <c r="B17" s="3" t="str">
        <f ca="1">IFERROR(__xludf.DUMMYFUNCTION("""COMPUTED_VALUE"""),"mpangburn@normanps.org")</f>
        <v>mpangburn@normanps.org</v>
      </c>
      <c r="C17" s="3"/>
      <c r="D17" s="3">
        <f ca="1">IFERROR(__xludf.DUMMYFUNCTION("""COMPUTED_VALUE"""),2)</f>
        <v>2</v>
      </c>
      <c r="E17" s="3"/>
      <c r="F17" s="6"/>
      <c r="G17" s="3">
        <f ca="1">IFERROR(__xludf.DUMMYFUNCTION("""COMPUTED_VALUE"""),2)</f>
        <v>2</v>
      </c>
      <c r="H17" s="3">
        <f ca="1">IFERROR(__xludf.DUMMYFUNCTION("""COMPUTED_VALUE"""),20)</f>
        <v>20</v>
      </c>
      <c r="I17" s="3"/>
      <c r="J17" s="3" t="str">
        <f ca="1">IFERROR(__xludf.DUMMYFUNCTION("""COMPUTED_VALUE"""),"Science")</f>
        <v>Science</v>
      </c>
      <c r="K17" s="3" t="str">
        <f ca="1">IFERROR(__xludf.DUMMYFUNCTION("""COMPUTED_VALUE"""),"HS multi-grade class")</f>
        <v>HS multi-grade class</v>
      </c>
      <c r="L17" s="3"/>
      <c r="M17" s="3"/>
      <c r="N17" s="3"/>
      <c r="O17" s="3"/>
      <c r="P17" s="3"/>
      <c r="Q17" s="3" t="str">
        <f ca="1">IFERROR(__xludf.DUMMYFUNCTION("""COMPUTED_VALUE"""),"OLA CPC")</f>
        <v>OLA CPC</v>
      </c>
      <c r="R17" s="3" t="str">
        <f ca="1">IFERROR(__xludf.DUMMYFUNCTION("""COMPUTED_VALUE"""),"Book Club")</f>
        <v>Book Club</v>
      </c>
      <c r="S17" s="3"/>
      <c r="T17" s="3" t="str">
        <f ca="1">IFERROR(__xludf.DUMMYFUNCTION("""COMPUTED_VALUE"""),"Norman High")</f>
        <v>Norman High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3" x14ac:dyDescent="0.15">
      <c r="A18" s="2">
        <f ca="1">IFERROR(__xludf.DUMMYFUNCTION("""COMPUTED_VALUE"""),45629.4435099884)</f>
        <v>45629.443509988399</v>
      </c>
      <c r="B18" s="3" t="str">
        <f ca="1">IFERROR(__xludf.DUMMYFUNCTION("""COMPUTED_VALUE"""),"mpangburn@normanps.org")</f>
        <v>mpangburn@normanps.org</v>
      </c>
      <c r="C18" s="3"/>
      <c r="D18" s="3">
        <f ca="1">IFERROR(__xludf.DUMMYFUNCTION("""COMPUTED_VALUE"""),2)</f>
        <v>2</v>
      </c>
      <c r="E18" s="3"/>
      <c r="F18" s="6"/>
      <c r="G18" s="3"/>
      <c r="H18" s="3"/>
      <c r="I18" s="3" t="str">
        <f ca="1">IFERROR(__xludf.DUMMYFUNCTION("""COMPUTED_VALUE"""),"Inquire")</f>
        <v>Inquire</v>
      </c>
      <c r="J18" s="3" t="str">
        <f ca="1">IFERROR(__xludf.DUMMYFUNCTION("""COMPUTED_VALUE"""),"Science")</f>
        <v>Science</v>
      </c>
      <c r="K18" s="3" t="str">
        <f ca="1">IFERROR(__xludf.DUMMYFUNCTION("""COMPUTED_VALUE"""),"Ninth")</f>
        <v>Ninth</v>
      </c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IFERROR(__xludf.DUMMYFUNCTION("""COMPUTED_VALUE"""),"Norman High")</f>
        <v>Norman High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3" x14ac:dyDescent="0.15">
      <c r="A19" s="2">
        <f ca="1">IFERROR(__xludf.DUMMYFUNCTION("""COMPUTED_VALUE"""),45629.4437965162)</f>
        <v>45629.4437965162</v>
      </c>
      <c r="B19" s="3" t="str">
        <f ca="1">IFERROR(__xludf.DUMMYFUNCTION("""COMPUTED_VALUE"""),"mpangburn@normanps.org")</f>
        <v>mpangburn@normanps.org</v>
      </c>
      <c r="C19" s="3"/>
      <c r="D19" s="3">
        <f ca="1">IFERROR(__xludf.DUMMYFUNCTION("""COMPUTED_VALUE"""),3)</f>
        <v>3</v>
      </c>
      <c r="E19" s="3"/>
      <c r="F19" s="6"/>
      <c r="G19" s="3"/>
      <c r="H19" s="3"/>
      <c r="I19" s="3" t="str">
        <f ca="1">IFERROR(__xludf.DUMMYFUNCTION("""COMPUTED_VALUE"""),"Curate")</f>
        <v>Curate</v>
      </c>
      <c r="J19" s="3" t="str">
        <f ca="1">IFERROR(__xludf.DUMMYFUNCTION("""COMPUTED_VALUE"""),"Art")</f>
        <v>Art</v>
      </c>
      <c r="K19" s="3" t="str">
        <f ca="1">IFERROR(__xludf.DUMMYFUNCTION("""COMPUTED_VALUE"""),"HS multi-grade class")</f>
        <v>HS multi-grade class</v>
      </c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IFERROR(__xludf.DUMMYFUNCTION("""COMPUTED_VALUE"""),"Norman High")</f>
        <v>Norman High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3" x14ac:dyDescent="0.15">
      <c r="A20" s="2">
        <f ca="1">IFERROR(__xludf.DUMMYFUNCTION("""COMPUTED_VALUE"""),45644.5457139351)</f>
        <v>45644.545713935098</v>
      </c>
      <c r="B20" s="3" t="str">
        <f ca="1">IFERROR(__xludf.DUMMYFUNCTION("""COMPUTED_VALUE"""),"sschrank@normanps.org")</f>
        <v>sschrank@normanps.org</v>
      </c>
      <c r="C20" s="3">
        <f ca="1">IFERROR(__xludf.DUMMYFUNCTION("""COMPUTED_VALUE"""),836)</f>
        <v>836</v>
      </c>
      <c r="D20" s="3"/>
      <c r="E20" s="3"/>
      <c r="F20" s="6"/>
      <c r="G20" s="3"/>
      <c r="H20" s="3"/>
      <c r="I20" s="3"/>
      <c r="J20" s="3"/>
      <c r="K20" s="3"/>
      <c r="L20" s="3"/>
      <c r="M20" s="3"/>
      <c r="N20" s="3">
        <f ca="1">IFERROR(__xludf.DUMMYFUNCTION("""COMPUTED_VALUE"""),199)</f>
        <v>199</v>
      </c>
      <c r="O20" s="3"/>
      <c r="P20" s="3"/>
      <c r="Q20" s="3"/>
      <c r="R20" s="3"/>
      <c r="S20" s="3"/>
      <c r="T20" s="3" t="str">
        <f ca="1">IFERROR(__xludf.DUMMYFUNCTION("""COMPUTED_VALUE"""),"Norman High")</f>
        <v>Norman High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3" x14ac:dyDescent="0.15">
      <c r="A21" s="2">
        <f ca="1">IFERROR(__xludf.DUMMYFUNCTION("""COMPUTED_VALUE"""),45665.3428773726)</f>
        <v>45665.342877372597</v>
      </c>
      <c r="B21" s="3" t="str">
        <f ca="1">IFERROR(__xludf.DUMMYFUNCTION("""COMPUTED_VALUE"""),"mpangburn@normanps.org")</f>
        <v>mpangburn@normanps.org</v>
      </c>
      <c r="C21" s="3"/>
      <c r="D21" s="3"/>
      <c r="E21" s="3"/>
      <c r="F21" s="6"/>
      <c r="G21" s="3"/>
      <c r="H21" s="3">
        <f ca="1">IFERROR(__xludf.DUMMYFUNCTION("""COMPUTED_VALUE"""),35)</f>
        <v>35</v>
      </c>
      <c r="I21" s="3"/>
      <c r="J21" s="3"/>
      <c r="K21" s="3"/>
      <c r="L21" s="3"/>
      <c r="M21" s="3"/>
      <c r="N21" s="3"/>
      <c r="O21" s="3"/>
      <c r="P21" s="3"/>
      <c r="Q21" s="3" t="str">
        <f ca="1">IFERROR(__xludf.DUMMYFUNCTION("""COMPUTED_VALUE"""),"OKSL Board Meeting")</f>
        <v>OKSL Board Meeting</v>
      </c>
      <c r="R21" s="3" t="str">
        <f ca="1">IFERROR(__xludf.DUMMYFUNCTION("""COMPUTED_VALUE"""),"Soupstone Release Party")</f>
        <v>Soupstone Release Party</v>
      </c>
      <c r="S21" s="3"/>
      <c r="T21" s="3" t="str">
        <f ca="1">IFERROR(__xludf.DUMMYFUNCTION("""COMPUTED_VALUE"""),"Norman High")</f>
        <v>Norman High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3" x14ac:dyDescent="0.15">
      <c r="A22" s="2">
        <f ca="1">IFERROR(__xludf.DUMMYFUNCTION("""COMPUTED_VALUE"""),45665.3434026041)</f>
        <v>45665.3434026041</v>
      </c>
      <c r="B22" s="3" t="str">
        <f ca="1">IFERROR(__xludf.DUMMYFUNCTION("""COMPUTED_VALUE"""),"mpangburn@normanps.org")</f>
        <v>mpangburn@normanps.org</v>
      </c>
      <c r="C22" s="3"/>
      <c r="D22" s="3"/>
      <c r="E22" s="3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str">
        <f ca="1">IFERROR(__xludf.DUMMYFUNCTION("""COMPUTED_VALUE"""),"OLA CPC")</f>
        <v>OLA CPC</v>
      </c>
      <c r="R22" s="3"/>
      <c r="S22" s="3"/>
      <c r="T22" s="3" t="str">
        <f ca="1">IFERROR(__xludf.DUMMYFUNCTION("""COMPUTED_VALUE"""),"Norman High")</f>
        <v>Norman High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3" x14ac:dyDescent="0.15">
      <c r="A23" s="2">
        <f ca="1">IFERROR(__xludf.DUMMYFUNCTION("""COMPUTED_VALUE"""),45665.3452996412)</f>
        <v>45665.345299641202</v>
      </c>
      <c r="B23" s="3" t="str">
        <f ca="1">IFERROR(__xludf.DUMMYFUNCTION("""COMPUTED_VALUE"""),"mpangburn@normanps.org")</f>
        <v>mpangburn@normanps.org</v>
      </c>
      <c r="C23" s="3"/>
      <c r="D23" s="3"/>
      <c r="E23" s="3"/>
      <c r="F23" s="6"/>
      <c r="G23" s="3"/>
      <c r="H23" s="3"/>
      <c r="I23" s="3"/>
      <c r="J23" s="3"/>
      <c r="K23" s="3"/>
      <c r="L23" s="3"/>
      <c r="M23" s="3">
        <f ca="1">IFERROR(__xludf.DUMMYFUNCTION("""COMPUTED_VALUE"""),153)</f>
        <v>153</v>
      </c>
      <c r="N23" s="3"/>
      <c r="O23" s="3"/>
      <c r="P23" s="3"/>
      <c r="Q23" s="3"/>
      <c r="R23" s="3"/>
      <c r="S23" s="3"/>
      <c r="T23" s="3" t="str">
        <f ca="1">IFERROR(__xludf.DUMMYFUNCTION("""COMPUTED_VALUE"""),"Norman High")</f>
        <v>Norman High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3" x14ac:dyDescent="0.15">
      <c r="A24" s="2">
        <f ca="1">IFERROR(__xludf.DUMMYFUNCTION("""COMPUTED_VALUE"""),45672.3487918634)</f>
        <v>45672.348791863398</v>
      </c>
      <c r="B24" s="3" t="str">
        <f ca="1">IFERROR(__xludf.DUMMYFUNCTION("""COMPUTED_VALUE"""),"sschrank@normanps.org")</f>
        <v>sschrank@normanps.org</v>
      </c>
      <c r="C24" s="3">
        <f ca="1">IFERROR(__xludf.DUMMYFUNCTION("""COMPUTED_VALUE"""),578)</f>
        <v>578</v>
      </c>
      <c r="D24" s="3"/>
      <c r="E24" s="3"/>
      <c r="F24" s="6"/>
      <c r="G24" s="3"/>
      <c r="H24" s="3"/>
      <c r="I24" s="3"/>
      <c r="J24" s="3"/>
      <c r="K24" s="3"/>
      <c r="L24" s="3"/>
      <c r="M24" s="3"/>
      <c r="N24" s="3">
        <f ca="1">IFERROR(__xludf.DUMMYFUNCTION("""COMPUTED_VALUE"""),60)</f>
        <v>60</v>
      </c>
      <c r="O24" s="3"/>
      <c r="P24" s="3"/>
      <c r="Q24" s="3"/>
      <c r="R24" s="3"/>
      <c r="S24" s="3"/>
      <c r="T24" s="3" t="str">
        <f ca="1">IFERROR(__xludf.DUMMYFUNCTION("""COMPUTED_VALUE"""),"Norman High")</f>
        <v>Norman High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3" x14ac:dyDescent="0.15">
      <c r="A25" s="2">
        <f ca="1">IFERROR(__xludf.DUMMYFUNCTION("""COMPUTED_VALUE"""),45693.4865680324)</f>
        <v>45693.4865680324</v>
      </c>
      <c r="B25" s="3" t="str">
        <f ca="1">IFERROR(__xludf.DUMMYFUNCTION("""COMPUTED_VALUE"""),"sschrank@normanps.org")</f>
        <v>sschrank@normanps.org</v>
      </c>
      <c r="C25" s="3">
        <f ca="1">IFERROR(__xludf.DUMMYFUNCTION("""COMPUTED_VALUE"""),535)</f>
        <v>535</v>
      </c>
      <c r="D25" s="3"/>
      <c r="E25" s="3"/>
      <c r="F25" s="6"/>
      <c r="G25" s="3"/>
      <c r="H25" s="3"/>
      <c r="I25" s="3"/>
      <c r="J25" s="3"/>
      <c r="K25" s="3"/>
      <c r="L25" s="3"/>
      <c r="M25" s="3"/>
      <c r="N25" s="3">
        <f ca="1">IFERROR(__xludf.DUMMYFUNCTION("""COMPUTED_VALUE"""),67)</f>
        <v>67</v>
      </c>
      <c r="O25" s="3"/>
      <c r="P25" s="3"/>
      <c r="Q25" s="3"/>
      <c r="R25" s="3"/>
      <c r="S25" s="3"/>
      <c r="T25" s="3" t="str">
        <f ca="1">IFERROR(__xludf.DUMMYFUNCTION("""COMPUTED_VALUE"""),"Norman High")</f>
        <v>Norman High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3" x14ac:dyDescent="0.15">
      <c r="A26" s="2">
        <f ca="1">IFERROR(__xludf.DUMMYFUNCTION("""COMPUTED_VALUE"""),45714.6702329513)</f>
        <v>45714.670232951299</v>
      </c>
      <c r="B26" s="3" t="str">
        <f ca="1">IFERROR(__xludf.DUMMYFUNCTION("""COMPUTED_VALUE"""),"mpangburn@normanps.org")</f>
        <v>mpangburn@normanps.org</v>
      </c>
      <c r="C26" s="3"/>
      <c r="D26" s="3">
        <f ca="1">IFERROR(__xludf.DUMMYFUNCTION("""COMPUTED_VALUE"""),2)</f>
        <v>2</v>
      </c>
      <c r="E26" s="3"/>
      <c r="F26" s="6"/>
      <c r="G26" s="3">
        <f ca="1">IFERROR(__xludf.DUMMYFUNCTION("""COMPUTED_VALUE"""),8)</f>
        <v>8</v>
      </c>
      <c r="H26" s="3">
        <f ca="1">IFERROR(__xludf.DUMMYFUNCTION("""COMPUTED_VALUE"""),27)</f>
        <v>27</v>
      </c>
      <c r="I26" s="3"/>
      <c r="J26" s="3"/>
      <c r="K26" s="3"/>
      <c r="L26" s="3" t="str">
        <f ca="1">IFERROR(__xludf.DUMMYFUNCTION("""COMPUTED_VALUE"""),"poster printer")</f>
        <v>poster printer</v>
      </c>
      <c r="M26" s="3"/>
      <c r="N26" s="3"/>
      <c r="O26" s="3"/>
      <c r="P26" s="3" t="str">
        <f ca="1">IFERROR(__xludf.DUMMYFUNCTION("""COMPUTED_VALUE"""),"League of Women Voters")</f>
        <v>League of Women Voters</v>
      </c>
      <c r="Q26" s="3" t="str">
        <f ca="1">IFERROR(__xludf.DUMMYFUNCTION("""COMPUTED_VALUE"""),"OLA CPC")</f>
        <v>OLA CPC</v>
      </c>
      <c r="R26" s="3" t="str">
        <f ca="1">IFERROR(__xludf.DUMMYFUNCTION("""COMPUTED_VALUE"""),"Book Club")</f>
        <v>Book Club</v>
      </c>
      <c r="S26" s="3"/>
      <c r="T26" s="3" t="str">
        <f ca="1">IFERROR(__xludf.DUMMYFUNCTION("""COMPUTED_VALUE"""),"Norman High")</f>
        <v>Norman High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3" x14ac:dyDescent="0.15">
      <c r="A27" s="2">
        <f ca="1">IFERROR(__xludf.DUMMYFUNCTION("""COMPUTED_VALUE"""),45714.6715629513)</f>
        <v>45714.671562951298</v>
      </c>
      <c r="B27" s="3" t="str">
        <f ca="1">IFERROR(__xludf.DUMMYFUNCTION("""COMPUTED_VALUE"""),"mpangburn@normanps.org")</f>
        <v>mpangburn@normanps.org</v>
      </c>
      <c r="C27" s="3"/>
      <c r="D27" s="3">
        <f ca="1">IFERROR(__xludf.DUMMYFUNCTION("""COMPUTED_VALUE"""),4)</f>
        <v>4</v>
      </c>
      <c r="E27" s="3"/>
      <c r="F27" s="6"/>
      <c r="G27" s="3"/>
      <c r="H27" s="3"/>
      <c r="I27" s="3" t="str">
        <f ca="1">IFERROR(__xludf.DUMMYFUNCTION("""COMPUTED_VALUE"""),"Curate")</f>
        <v>Curate</v>
      </c>
      <c r="J27" s="3" t="str">
        <f ca="1">IFERROR(__xludf.DUMMYFUNCTION("""COMPUTED_VALUE"""),"ELA")</f>
        <v>ELA</v>
      </c>
      <c r="K27" s="3" t="str">
        <f ca="1">IFERROR(__xludf.DUMMYFUNCTION("""COMPUTED_VALUE"""),"Twelfth")</f>
        <v>Twelfth</v>
      </c>
      <c r="L27" s="3" t="str">
        <f ca="1">IFERROR(__xludf.DUMMYFUNCTION("""COMPUTED_VALUE"""),"poster printer")</f>
        <v>poster printer</v>
      </c>
      <c r="M27" s="3"/>
      <c r="N27" s="3"/>
      <c r="O27" s="3"/>
      <c r="P27" s="3" t="str">
        <f ca="1">IFERROR(__xludf.DUMMYFUNCTION("""COMPUTED_VALUE"""),"Pioneer Library System")</f>
        <v>Pioneer Library System</v>
      </c>
      <c r="Q27" s="3" t="str">
        <f ca="1">IFERROR(__xludf.DUMMYFUNCTION("""COMPUTED_VALUE"""),"OLA CPC")</f>
        <v>OLA CPC</v>
      </c>
      <c r="R27" s="3" t="str">
        <f ca="1">IFERROR(__xludf.DUMMYFUNCTION("""COMPUTED_VALUE"""),"Book Club")</f>
        <v>Book Club</v>
      </c>
      <c r="S27" s="3"/>
      <c r="T27" s="3" t="str">
        <f ca="1">IFERROR(__xludf.DUMMYFUNCTION("""COMPUTED_VALUE"""),"Norman High")</f>
        <v>Norman High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3" x14ac:dyDescent="0.15">
      <c r="A28" s="2">
        <f ca="1">IFERROR(__xludf.DUMMYFUNCTION("""COMPUTED_VALUE"""),45714.6725849652)</f>
        <v>45714.672584965199</v>
      </c>
      <c r="B28" s="3" t="str">
        <f ca="1">IFERROR(__xludf.DUMMYFUNCTION("""COMPUTED_VALUE"""),"mpangburn@normanps.org")</f>
        <v>mpangburn@normanps.org</v>
      </c>
      <c r="C28" s="3"/>
      <c r="D28" s="3">
        <f ca="1">IFERROR(__xludf.DUMMYFUNCTION("""COMPUTED_VALUE"""),14)</f>
        <v>14</v>
      </c>
      <c r="E28" s="3"/>
      <c r="F28" s="6"/>
      <c r="G28" s="3"/>
      <c r="H28" s="3"/>
      <c r="I28" s="3" t="str">
        <f ca="1">IFERROR(__xludf.DUMMYFUNCTION("""COMPUTED_VALUE"""),"Inquire")</f>
        <v>Inquire</v>
      </c>
      <c r="J28" s="3" t="str">
        <f ca="1">IFERROR(__xludf.DUMMYFUNCTION("""COMPUTED_VALUE"""),"ELA")</f>
        <v>ELA</v>
      </c>
      <c r="K28" s="3" t="str">
        <f ca="1">IFERROR(__xludf.DUMMYFUNCTION("""COMPUTED_VALUE"""),"Tenth")</f>
        <v>Tenth</v>
      </c>
      <c r="L28" s="3" t="str">
        <f ca="1">IFERROR(__xludf.DUMMYFUNCTION("""COMPUTED_VALUE"""),"poster printer")</f>
        <v>poster printer</v>
      </c>
      <c r="M28" s="3"/>
      <c r="N28" s="3"/>
      <c r="O28" s="3"/>
      <c r="P28" s="3" t="str">
        <f ca="1">IFERROR(__xludf.DUMMYFUNCTION("""COMPUTED_VALUE"""),"Pioneer Library System")</f>
        <v>Pioneer Library System</v>
      </c>
      <c r="Q28" s="3" t="str">
        <f ca="1">IFERROR(__xludf.DUMMYFUNCTION("""COMPUTED_VALUE"""),"OKSL Board Meeting")</f>
        <v>OKSL Board Meeting</v>
      </c>
      <c r="R28" s="3" t="str">
        <f ca="1">IFERROR(__xludf.DUMMYFUNCTION("""COMPUTED_VALUE"""),"Book Club")</f>
        <v>Book Club</v>
      </c>
      <c r="S28" s="3"/>
      <c r="T28" s="3" t="str">
        <f ca="1">IFERROR(__xludf.DUMMYFUNCTION("""COMPUTED_VALUE"""),"Norman High")</f>
        <v>Norman High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3" x14ac:dyDescent="0.15">
      <c r="A29" s="2">
        <f ca="1">IFERROR(__xludf.DUMMYFUNCTION("""COMPUTED_VALUE"""),45714.6737641203)</f>
        <v>45714.6737641203</v>
      </c>
      <c r="B29" s="3" t="str">
        <f ca="1">IFERROR(__xludf.DUMMYFUNCTION("""COMPUTED_VALUE"""),"mpangburn@normanps.org")</f>
        <v>mpangburn@normanps.org</v>
      </c>
      <c r="C29" s="3"/>
      <c r="D29" s="3">
        <f ca="1">IFERROR(__xludf.DUMMYFUNCTION("""COMPUTED_VALUE"""),12)</f>
        <v>12</v>
      </c>
      <c r="E29" s="3"/>
      <c r="F29" s="6"/>
      <c r="G29" s="3"/>
      <c r="H29" s="3"/>
      <c r="I29" s="3" t="str">
        <f ca="1">IFERROR(__xludf.DUMMYFUNCTION("""COMPUTED_VALUE"""),"Curate")</f>
        <v>Curate</v>
      </c>
      <c r="J29" s="3" t="str">
        <f ca="1">IFERROR(__xludf.DUMMYFUNCTION("""COMPUTED_VALUE"""),"Social Studies")</f>
        <v>Social Studies</v>
      </c>
      <c r="K29" s="3" t="str">
        <f ca="1">IFERROR(__xludf.DUMMYFUNCTION("""COMPUTED_VALUE"""),"Eleventh")</f>
        <v>Eleventh</v>
      </c>
      <c r="L29" s="3"/>
      <c r="M29" s="3"/>
      <c r="N29" s="3"/>
      <c r="O29" s="3"/>
      <c r="P29" s="3" t="str">
        <f ca="1">IFERROR(__xludf.DUMMYFUNCTION("""COMPUTED_VALUE"""),"Pioneer Library System")</f>
        <v>Pioneer Library System</v>
      </c>
      <c r="Q29" s="3" t="str">
        <f ca="1">IFERROR(__xludf.DUMMYFUNCTION("""COMPUTED_VALUE"""),"OKSL Board Meeting")</f>
        <v>OKSL Board Meeting</v>
      </c>
      <c r="R29" s="3" t="str">
        <f ca="1">IFERROR(__xludf.DUMMYFUNCTION("""COMPUTED_VALUE"""),"Book Club")</f>
        <v>Book Club</v>
      </c>
      <c r="S29" s="3"/>
      <c r="T29" s="3" t="str">
        <f ca="1">IFERROR(__xludf.DUMMYFUNCTION("""COMPUTED_VALUE"""),"Norman High")</f>
        <v>Norman High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3" x14ac:dyDescent="0.15">
      <c r="A30" s="2">
        <f ca="1">IFERROR(__xludf.DUMMYFUNCTION("""COMPUTED_VALUE"""),45714.674733287)</f>
        <v>45714.674733287</v>
      </c>
      <c r="B30" s="3" t="str">
        <f ca="1">IFERROR(__xludf.DUMMYFUNCTION("""COMPUTED_VALUE"""),"mpangburn@normanps.org")</f>
        <v>mpangburn@normanps.org</v>
      </c>
      <c r="C30" s="3"/>
      <c r="D30" s="3">
        <f ca="1">IFERROR(__xludf.DUMMYFUNCTION("""COMPUTED_VALUE"""),41)</f>
        <v>41</v>
      </c>
      <c r="E30" s="3"/>
      <c r="F30" s="6"/>
      <c r="G30" s="3"/>
      <c r="H30" s="3"/>
      <c r="I30" s="3" t="str">
        <f ca="1">IFERROR(__xludf.DUMMYFUNCTION("""COMPUTED_VALUE"""),"Inquire")</f>
        <v>Inquire</v>
      </c>
      <c r="J30" s="3" t="str">
        <f ca="1">IFERROR(__xludf.DUMMYFUNCTION("""COMPUTED_VALUE"""),"ELA")</f>
        <v>ELA</v>
      </c>
      <c r="K30" s="3" t="str">
        <f ca="1">IFERROR(__xludf.DUMMYFUNCTION("""COMPUTED_VALUE"""),"Ninth")</f>
        <v>Ninth</v>
      </c>
      <c r="L30" s="3"/>
      <c r="M30" s="3"/>
      <c r="N30" s="3"/>
      <c r="O30" s="3"/>
      <c r="P30" s="3"/>
      <c r="Q30" s="3" t="str">
        <f ca="1">IFERROR(__xludf.DUMMYFUNCTION("""COMPUTED_VALUE"""),"OU SLIS Alumni Board")</f>
        <v>OU SLIS Alumni Board</v>
      </c>
      <c r="R30" s="3" t="str">
        <f ca="1">IFERROR(__xludf.DUMMYFUNCTION("""COMPUTED_VALUE"""),"Book Club")</f>
        <v>Book Club</v>
      </c>
      <c r="S30" s="3"/>
      <c r="T30" s="3" t="str">
        <f ca="1">IFERROR(__xludf.DUMMYFUNCTION("""COMPUTED_VALUE"""),"Norman High")</f>
        <v>Norman High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3" x14ac:dyDescent="0.15">
      <c r="A31" s="2">
        <f ca="1">IFERROR(__xludf.DUMMYFUNCTION("""COMPUTED_VALUE"""),45714.675780868)</f>
        <v>45714.675780867998</v>
      </c>
      <c r="B31" s="3" t="str">
        <f ca="1">IFERROR(__xludf.DUMMYFUNCTION("""COMPUTED_VALUE"""),"mpangburn@normanps.org")</f>
        <v>mpangburn@normanps.org</v>
      </c>
      <c r="C31" s="3"/>
      <c r="D31" s="3">
        <f ca="1">IFERROR(__xludf.DUMMYFUNCTION("""COMPUTED_VALUE"""),26)</f>
        <v>26</v>
      </c>
      <c r="E31" s="3"/>
      <c r="F31" s="6"/>
      <c r="G31" s="3"/>
      <c r="H31" s="3"/>
      <c r="I31" s="3" t="str">
        <f ca="1">IFERROR(__xludf.DUMMYFUNCTION("""COMPUTED_VALUE"""),"Inquire")</f>
        <v>Inquire</v>
      </c>
      <c r="J31" s="3" t="str">
        <f ca="1">IFERROR(__xludf.DUMMYFUNCTION("""COMPUTED_VALUE"""),"ELA")</f>
        <v>ELA</v>
      </c>
      <c r="K31" s="3" t="str">
        <f ca="1">IFERROR(__xludf.DUMMYFUNCTION("""COMPUTED_VALUE"""),"Eleventh")</f>
        <v>Eleventh</v>
      </c>
      <c r="L31" s="3" t="str">
        <f ca="1">IFERROR(__xludf.DUMMYFUNCTION("""COMPUTED_VALUE"""),"poster printer")</f>
        <v>poster printer</v>
      </c>
      <c r="M31" s="3"/>
      <c r="N31" s="3"/>
      <c r="O31" s="3"/>
      <c r="P31" s="3"/>
      <c r="Q31" s="3"/>
      <c r="R31" s="3" t="str">
        <f ca="1">IFERROR(__xludf.DUMMYFUNCTION("""COMPUTED_VALUE"""),"Voter Registration Drive")</f>
        <v>Voter Registration Drive</v>
      </c>
      <c r="S31" s="3"/>
      <c r="T31" s="3" t="str">
        <f ca="1">IFERROR(__xludf.DUMMYFUNCTION("""COMPUTED_VALUE"""),"Norman High")</f>
        <v>Norman High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3" x14ac:dyDescent="0.15">
      <c r="A32" s="2">
        <f ca="1">IFERROR(__xludf.DUMMYFUNCTION("""COMPUTED_VALUE"""),45714.676264537)</f>
        <v>45714.676264537004</v>
      </c>
      <c r="B32" s="3" t="str">
        <f ca="1">IFERROR(__xludf.DUMMYFUNCTION("""COMPUTED_VALUE"""),"mpangburn@normanps.org")</f>
        <v>mpangburn@normanps.org</v>
      </c>
      <c r="C32" s="3"/>
      <c r="D32" s="3"/>
      <c r="E32" s="3"/>
      <c r="F32" s="6"/>
      <c r="G32" s="3">
        <f ca="1">IFERROR(__xludf.DUMMYFUNCTION("""COMPUTED_VALUE"""),3)</f>
        <v>3</v>
      </c>
      <c r="H32" s="3">
        <f ca="1">IFERROR(__xludf.DUMMYFUNCTION("""COMPUTED_VALUE"""),14)</f>
        <v>14</v>
      </c>
      <c r="I32" s="3"/>
      <c r="J32" s="3"/>
      <c r="K32" s="3"/>
      <c r="L32" s="3" t="str">
        <f ca="1">IFERROR(__xludf.DUMMYFUNCTION("""COMPUTED_VALUE"""),"3D printer")</f>
        <v>3D printer</v>
      </c>
      <c r="M32" s="3"/>
      <c r="N32" s="3"/>
      <c r="O32" s="3"/>
      <c r="P32" s="3"/>
      <c r="Q32" s="3"/>
      <c r="R32" s="3" t="str">
        <f ca="1">IFERROR(__xludf.DUMMYFUNCTION("""COMPUTED_VALUE"""),"Makerspace Open Hours with Pioneer")</f>
        <v>Makerspace Open Hours with Pioneer</v>
      </c>
      <c r="S32" s="3"/>
      <c r="T32" s="3" t="str">
        <f ca="1">IFERROR(__xludf.DUMMYFUNCTION("""COMPUTED_VALUE"""),"Norman High")</f>
        <v>Norman High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15">
      <c r="A33" s="2">
        <f ca="1">IFERROR(__xludf.DUMMYFUNCTION("""COMPUTED_VALUE"""),45714.6766132407)</f>
        <v>45714.676613240699</v>
      </c>
      <c r="B33" s="3" t="str">
        <f ca="1">IFERROR(__xludf.DUMMYFUNCTION("""COMPUTED_VALUE"""),"mpangburn@normanps.org")</f>
        <v>mpangburn@normanps.org</v>
      </c>
      <c r="C33" s="3"/>
      <c r="D33" s="3"/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tr">
        <f ca="1">IFERROR(__xludf.DUMMYFUNCTION("""COMPUTED_VALUE"""),"Makerspace Open Hours with Pioneer")</f>
        <v>Makerspace Open Hours with Pioneer</v>
      </c>
      <c r="S33" s="3"/>
      <c r="T33" s="3" t="str">
        <f ca="1">IFERROR(__xludf.DUMMYFUNCTION("""COMPUTED_VALUE"""),"Norman High")</f>
        <v>Norman High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15">
      <c r="A34" s="2">
        <f ca="1">IFERROR(__xludf.DUMMYFUNCTION("""COMPUTED_VALUE"""),45714.6769238888)</f>
        <v>45714.676923888801</v>
      </c>
      <c r="B34" s="3" t="str">
        <f ca="1">IFERROR(__xludf.DUMMYFUNCTION("""COMPUTED_VALUE"""),"mpangburn@normanps.org")</f>
        <v>mpangburn@normanps.org</v>
      </c>
      <c r="C34" s="3"/>
      <c r="D34" s="3"/>
      <c r="E34" s="3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 t="str">
        <f ca="1">IFERROR(__xludf.DUMMYFUNCTION("""COMPUTED_VALUE"""),"Makerspace Open Hours with Pioneer")</f>
        <v>Makerspace Open Hours with Pioneer</v>
      </c>
      <c r="S34" s="3"/>
      <c r="T34" s="3" t="str">
        <f ca="1">IFERROR(__xludf.DUMMYFUNCTION("""COMPUTED_VALUE"""),"Norman High")</f>
        <v>Norman High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15">
      <c r="A35" s="2">
        <f ca="1">IFERROR(__xludf.DUMMYFUNCTION("""COMPUTED_VALUE"""),45763.6254938078)</f>
        <v>45763.625493807798</v>
      </c>
      <c r="B35" s="3" t="str">
        <f ca="1">IFERROR(__xludf.DUMMYFUNCTION("""COMPUTED_VALUE"""),"mpangburn@normanps.org")</f>
        <v>mpangburn@normanps.org</v>
      </c>
      <c r="C35" s="3"/>
      <c r="D35" s="3">
        <f ca="1">IFERROR(__xludf.DUMMYFUNCTION("""COMPUTED_VALUE"""),66)</f>
        <v>66</v>
      </c>
      <c r="E35" s="3"/>
      <c r="F35" s="6"/>
      <c r="G35" s="3">
        <f ca="1">IFERROR(__xludf.DUMMYFUNCTION("""COMPUTED_VALUE"""),4)</f>
        <v>4</v>
      </c>
      <c r="H35" s="3">
        <f ca="1">IFERROR(__xludf.DUMMYFUNCTION("""COMPUTED_VALUE"""),78)</f>
        <v>78</v>
      </c>
      <c r="I35" s="3" t="str">
        <f ca="1">IFERROR(__xludf.DUMMYFUNCTION("""COMPUTED_VALUE"""),"Inquire")</f>
        <v>Inquire</v>
      </c>
      <c r="J35" s="3" t="str">
        <f ca="1">IFERROR(__xludf.DUMMYFUNCTION("""COMPUTED_VALUE"""),"ELA")</f>
        <v>ELA</v>
      </c>
      <c r="K35" s="3" t="str">
        <f ca="1">IFERROR(__xludf.DUMMYFUNCTION("""COMPUTED_VALUE"""),"Ninth")</f>
        <v>Ninth</v>
      </c>
      <c r="L35" s="3" t="str">
        <f ca="1">IFERROR(__xludf.DUMMYFUNCTION("""COMPUTED_VALUE"""),"paint")</f>
        <v>paint</v>
      </c>
      <c r="M35" s="3">
        <f ca="1">IFERROR(__xludf.DUMMYFUNCTION("""COMPUTED_VALUE"""),36)</f>
        <v>36</v>
      </c>
      <c r="N35" s="3"/>
      <c r="O35" s="3"/>
      <c r="P35" s="3"/>
      <c r="Q35" s="3" t="str">
        <f ca="1">IFERROR(__xludf.DUMMYFUNCTION("""COMPUTED_VALUE"""),"OU SLIS Alumni Board")</f>
        <v>OU SLIS Alumni Board</v>
      </c>
      <c r="R35" s="3" t="str">
        <f ca="1">IFERROR(__xludf.DUMMYFUNCTION("""COMPUTED_VALUE"""),"Book Club")</f>
        <v>Book Club</v>
      </c>
      <c r="S35" s="3">
        <f ca="1">IFERROR(__xludf.DUMMYFUNCTION("""COMPUTED_VALUE"""),2)</f>
        <v>2</v>
      </c>
      <c r="T35" s="3" t="str">
        <f ca="1">IFERROR(__xludf.DUMMYFUNCTION("""COMPUTED_VALUE"""),"Norman High")</f>
        <v>Norman High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15">
      <c r="A36" s="2">
        <f ca="1">IFERROR(__xludf.DUMMYFUNCTION("""COMPUTED_VALUE"""),45763.6285386111)</f>
        <v>45763.628538611098</v>
      </c>
      <c r="B36" s="3" t="str">
        <f ca="1">IFERROR(__xludf.DUMMYFUNCTION("""COMPUTED_VALUE"""),"mpangburn@normanps.org")</f>
        <v>mpangburn@normanps.org</v>
      </c>
      <c r="C36" s="3"/>
      <c r="D36" s="3"/>
      <c r="E36" s="3"/>
      <c r="F36" s="6"/>
      <c r="G36" s="3"/>
      <c r="H36" s="3"/>
      <c r="I36" s="3" t="str">
        <f ca="1">IFERROR(__xludf.DUMMYFUNCTION("""COMPUTED_VALUE"""),"Curate")</f>
        <v>Curate</v>
      </c>
      <c r="J36" s="3" t="str">
        <f ca="1">IFERROR(__xludf.DUMMYFUNCTION("""COMPUTED_VALUE"""),"Science")</f>
        <v>Science</v>
      </c>
      <c r="K36" s="3" t="str">
        <f ca="1">IFERROR(__xludf.DUMMYFUNCTION("""COMPUTED_VALUE"""),"HS multi-grade class")</f>
        <v>HS multi-grade class</v>
      </c>
      <c r="L36" s="3" t="str">
        <f ca="1">IFERROR(__xludf.DUMMYFUNCTION("""COMPUTED_VALUE"""),"clay")</f>
        <v>clay</v>
      </c>
      <c r="M36" s="3"/>
      <c r="N36" s="3"/>
      <c r="O36" s="3"/>
      <c r="P36" s="3"/>
      <c r="Q36" s="3" t="str">
        <f ca="1">IFERROR(__xludf.DUMMYFUNCTION("""COMPUTED_VALUE"""),"Curriculum Council")</f>
        <v>Curriculum Council</v>
      </c>
      <c r="R36" s="3" t="str">
        <f ca="1">IFERROR(__xludf.DUMMYFUNCTION("""COMPUTED_VALUE"""),"Book Club")</f>
        <v>Book Club</v>
      </c>
      <c r="S36" s="3"/>
      <c r="T36" s="3" t="str">
        <f ca="1">IFERROR(__xludf.DUMMYFUNCTION("""COMPUTED_VALUE"""),"Norman High")</f>
        <v>Norman High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15">
      <c r="A37" s="2">
        <f ca="1">IFERROR(__xludf.DUMMYFUNCTION("""COMPUTED_VALUE"""),45763.6292559027)</f>
        <v>45763.629255902699</v>
      </c>
      <c r="B37" s="3" t="str">
        <f ca="1">IFERROR(__xludf.DUMMYFUNCTION("""COMPUTED_VALUE"""),"mpangburn@normanps.org")</f>
        <v>mpangburn@normanps.org</v>
      </c>
      <c r="C37" s="3"/>
      <c r="D37" s="3"/>
      <c r="E37" s="3"/>
      <c r="F37" s="6"/>
      <c r="G37" s="3"/>
      <c r="H37" s="3"/>
      <c r="I37" s="3" t="str">
        <f ca="1">IFERROR(__xludf.DUMMYFUNCTION("""COMPUTED_VALUE"""),"Curate")</f>
        <v>Curate</v>
      </c>
      <c r="J37" s="3" t="str">
        <f ca="1">IFERROR(__xludf.DUMMYFUNCTION("""COMPUTED_VALUE"""),"EL")</f>
        <v>EL</v>
      </c>
      <c r="K37" s="3" t="str">
        <f ca="1">IFERROR(__xludf.DUMMYFUNCTION("""COMPUTED_VALUE"""),"Tenth")</f>
        <v>Tenth</v>
      </c>
      <c r="L37" s="3"/>
      <c r="M37" s="3"/>
      <c r="N37" s="3"/>
      <c r="O37" s="3"/>
      <c r="P37" s="3"/>
      <c r="Q37" s="3" t="str">
        <f ca="1">IFERROR(__xludf.DUMMYFUNCTION("""COMPUTED_VALUE"""),"Curriculum Council")</f>
        <v>Curriculum Council</v>
      </c>
      <c r="R37" s="3" t="str">
        <f ca="1">IFERROR(__xludf.DUMMYFUNCTION("""COMPUTED_VALUE"""),"Book Club")</f>
        <v>Book Club</v>
      </c>
      <c r="S37" s="3"/>
      <c r="T37" s="3" t="str">
        <f ca="1">IFERROR(__xludf.DUMMYFUNCTION("""COMPUTED_VALUE"""),"Norman High")</f>
        <v>Norman High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15">
      <c r="A38" s="2">
        <f ca="1">IFERROR(__xludf.DUMMYFUNCTION("""COMPUTED_VALUE"""),45763.6298308796)</f>
        <v>45763.629830879603</v>
      </c>
      <c r="B38" s="3" t="str">
        <f ca="1">IFERROR(__xludf.DUMMYFUNCTION("""COMPUTED_VALUE"""),"mpangburn@normanps.org")</f>
        <v>mpangburn@normanps.org</v>
      </c>
      <c r="C38" s="3"/>
      <c r="D38" s="3"/>
      <c r="E38" s="3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str">
        <f ca="1">IFERROR(__xludf.DUMMYFUNCTION("""COMPUTED_VALUE"""),"AASL Toor Scholarship Committee")</f>
        <v>AASL Toor Scholarship Committee</v>
      </c>
      <c r="R38" s="3" t="str">
        <f ca="1">IFERROR(__xludf.DUMMYFUNCTION("""COMPUTED_VALUE"""),"Book Club")</f>
        <v>Book Club</v>
      </c>
      <c r="S38" s="3"/>
      <c r="T38" s="3" t="str">
        <f ca="1">IFERROR(__xludf.DUMMYFUNCTION("""COMPUTED_VALUE"""),"Norman High")</f>
        <v>Norman High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15">
      <c r="A39" s="2">
        <f ca="1">IFERROR(__xludf.DUMMYFUNCTION("""COMPUTED_VALUE"""),45763.6303022685)</f>
        <v>45763.630302268502</v>
      </c>
      <c r="B39" s="3" t="str">
        <f ca="1">IFERROR(__xludf.DUMMYFUNCTION("""COMPUTED_VALUE"""),"mpangburn@normanps.org")</f>
        <v>mpangburn@normanps.org</v>
      </c>
      <c r="C39" s="3"/>
      <c r="D39" s="3"/>
      <c r="E39" s="3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 t="str">
        <f ca="1">IFERROR(__xludf.DUMMYFUNCTION("""COMPUTED_VALUE"""),"OLA CPC")</f>
        <v>OLA CPC</v>
      </c>
      <c r="R39" s="3" t="str">
        <f ca="1">IFERROR(__xludf.DUMMYFUNCTION("""COMPUTED_VALUE"""),"Book Club")</f>
        <v>Book Club</v>
      </c>
      <c r="S39" s="3"/>
      <c r="T39" s="3" t="str">
        <f ca="1">IFERROR(__xludf.DUMMYFUNCTION("""COMPUTED_VALUE"""),"Norman High")</f>
        <v>Norman High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15">
      <c r="A40" s="2">
        <f ca="1">IFERROR(__xludf.DUMMYFUNCTION("""COMPUTED_VALUE"""),45542.5974305555)</f>
        <v>45542.597430555499</v>
      </c>
      <c r="B40" s="3" t="str">
        <f ca="1">IFERROR(__xludf.DUMMYFUNCTION("""COMPUTED_VALUE"""),"akordelis2@normanps.org")</f>
        <v>akordelis2@normanps.org</v>
      </c>
      <c r="C40" s="3">
        <f ca="1">IFERROR(__xludf.DUMMYFUNCTION("""COMPUTED_VALUE"""),1)</f>
        <v>1</v>
      </c>
      <c r="D40" s="3">
        <f ca="1">IFERROR(__xludf.DUMMYFUNCTION("""COMPUTED_VALUE"""),1)</f>
        <v>1</v>
      </c>
      <c r="E40" s="3">
        <f ca="1">IFERROR(__xludf.DUMMYFUNCTION("""COMPUTED_VALUE"""),1)</f>
        <v>1</v>
      </c>
      <c r="F40" s="6">
        <f ca="1">IFERROR(__xludf.DUMMYFUNCTION("""COMPUTED_VALUE"""),1)</f>
        <v>1</v>
      </c>
      <c r="G40" s="3">
        <f ca="1">IFERROR(__xludf.DUMMYFUNCTION("""COMPUTED_VALUE"""),1)</f>
        <v>1</v>
      </c>
      <c r="H40" s="3">
        <f ca="1">IFERROR(__xludf.DUMMYFUNCTION("""COMPUTED_VALUE"""),1)</f>
        <v>1</v>
      </c>
      <c r="I40" s="3" t="str">
        <f ca="1">IFERROR(__xludf.DUMMYFUNCTION("""COMPUTED_VALUE"""),"Inquire")</f>
        <v>Inquire</v>
      </c>
      <c r="J40" s="3" t="str">
        <f ca="1">IFERROR(__xludf.DUMMYFUNCTION("""COMPUTED_VALUE"""),"ELA")</f>
        <v>ELA</v>
      </c>
      <c r="K40" s="3" t="str">
        <f ca="1">IFERROR(__xludf.DUMMYFUNCTION("""COMPUTED_VALUE"""),"Prek")</f>
        <v>Prek</v>
      </c>
      <c r="L40" s="3" t="str">
        <f ca="1">IFERROR(__xludf.DUMMYFUNCTION("""COMPUTED_VALUE"""),"Air Dry Clay")</f>
        <v>Air Dry Clay</v>
      </c>
      <c r="M40" s="3">
        <f ca="1">IFERROR(__xludf.DUMMYFUNCTION("""COMPUTED_VALUE"""),1)</f>
        <v>1</v>
      </c>
      <c r="N40" s="3">
        <f ca="1">IFERROR(__xludf.DUMMYFUNCTION("""COMPUTED_VALUE"""),1)</f>
        <v>1</v>
      </c>
      <c r="O40" s="3">
        <f ca="1">IFERROR(__xludf.DUMMYFUNCTION("""COMPUTED_VALUE"""),1)</f>
        <v>1</v>
      </c>
      <c r="P40" s="3" t="str">
        <f ca="1">IFERROR(__xludf.DUMMYFUNCTION("""COMPUTED_VALUE"""),"Pioneer")</f>
        <v>Pioneer</v>
      </c>
      <c r="Q40" s="3" t="str">
        <f ca="1">IFERROR(__xludf.DUMMYFUNCTION("""COMPUTED_VALUE"""),"OLA")</f>
        <v>OLA</v>
      </c>
      <c r="R40" s="3" t="str">
        <f ca="1">IFERROR(__xludf.DUMMYFUNCTION("""COMPUTED_VALUE"""),"Literacy Night")</f>
        <v>Literacy Night</v>
      </c>
      <c r="S40" s="3">
        <f ca="1">IFERROR(__xludf.DUMMYFUNCTION("""COMPUTED_VALUE"""),1)</f>
        <v>1</v>
      </c>
      <c r="T40" s="3" t="str">
        <f ca="1">IFERROR(__xludf.DUMMYFUNCTION("""COMPUTED_VALUE"""),"Norman High")</f>
        <v>Norman High</v>
      </c>
      <c r="U40" s="3"/>
      <c r="V40" s="3"/>
      <c r="W40" s="3"/>
      <c r="X40" s="3"/>
      <c r="Y40" s="3"/>
      <c r="Z40" s="3"/>
      <c r="AA40" s="3"/>
      <c r="AB40" s="3"/>
      <c r="AC40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J17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60" customHeight="1" x14ac:dyDescent="0.15">
      <c r="A1" s="1" t="str">
        <f ca="1">IFERROR(__xludf.DUMMYFUNCTION("QUERY('District Data'!A:AC, ""SELECT * WHERE T = 'Norman North'"",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IFERROR(__xludf.DUMMYFUNCTION("""COMPUTED_VALUE"""),45497.5809405092)</f>
        <v>45497.5809405092</v>
      </c>
      <c r="B2" s="3" t="str">
        <f ca="1">IFERROR(__xludf.DUMMYFUNCTION("""COMPUTED_VALUE"""),"akordelis2@normanps.org")</f>
        <v>akordelis2@normanps.org</v>
      </c>
      <c r="C2" s="3">
        <f ca="1">IFERROR(__xludf.DUMMYFUNCTION("""COMPUTED_VALUE"""),1)</f>
        <v>1</v>
      </c>
      <c r="D2" s="3">
        <f ca="1">IFERROR(__xludf.DUMMYFUNCTION("""COMPUTED_VALUE"""),1)</f>
        <v>1</v>
      </c>
      <c r="E2" s="3">
        <f ca="1">IFERROR(__xludf.DUMMYFUNCTION("""COMPUTED_VALUE"""),1)</f>
        <v>1</v>
      </c>
      <c r="F2" s="6">
        <f ca="1">IFERROR(__xludf.DUMMYFUNCTION("""COMPUTED_VALUE"""),1)</f>
        <v>1</v>
      </c>
      <c r="G2" s="3">
        <f ca="1">IFERROR(__xludf.DUMMYFUNCTION("""COMPUTED_VALUE"""),1)</f>
        <v>1</v>
      </c>
      <c r="H2" s="3">
        <f ca="1">IFERROR(__xludf.DUMMYFUNCTION("""COMPUTED_VALUE"""),1)</f>
        <v>1</v>
      </c>
      <c r="I2" s="3" t="str">
        <f ca="1">IFERROR(__xludf.DUMMYFUNCTION("""COMPUTED_VALUE"""),"Inquire")</f>
        <v>Inquire</v>
      </c>
      <c r="J2" s="3" t="str">
        <f ca="1">IFERROR(__xludf.DUMMYFUNCTION("""COMPUTED_VALUE"""),"ELA")</f>
        <v>ELA</v>
      </c>
      <c r="K2" s="3" t="str">
        <f ca="1">IFERROR(__xludf.DUMMYFUNCTION("""COMPUTED_VALUE"""),"Prek")</f>
        <v>Prek</v>
      </c>
      <c r="L2" s="3" t="str">
        <f ca="1">IFERROR(__xludf.DUMMYFUNCTION("""COMPUTED_VALUE"""),"Air Dry Clay")</f>
        <v>Air Dry Clay</v>
      </c>
      <c r="M2" s="3">
        <f ca="1">IFERROR(__xludf.DUMMYFUNCTION("""COMPUTED_VALUE"""),1)</f>
        <v>1</v>
      </c>
      <c r="N2" s="3">
        <f ca="1">IFERROR(__xludf.DUMMYFUNCTION("""COMPUTED_VALUE"""),1)</f>
        <v>1</v>
      </c>
      <c r="O2" s="3">
        <f ca="1">IFERROR(__xludf.DUMMYFUNCTION("""COMPUTED_VALUE"""),1)</f>
        <v>1</v>
      </c>
      <c r="P2" s="3" t="str">
        <f ca="1">IFERROR(__xludf.DUMMYFUNCTION("""COMPUTED_VALUE"""),"Pioneer")</f>
        <v>Pioneer</v>
      </c>
      <c r="Q2" s="3" t="str">
        <f ca="1">IFERROR(__xludf.DUMMYFUNCTION("""COMPUTED_VALUE"""),"OLA")</f>
        <v>OLA</v>
      </c>
      <c r="R2" s="3" t="str">
        <f ca="1">IFERROR(__xludf.DUMMYFUNCTION("""COMPUTED_VALUE"""),"Literacy Night")</f>
        <v>Literacy Night</v>
      </c>
      <c r="S2" s="3">
        <f ca="1">IFERROR(__xludf.DUMMYFUNCTION("""COMPUTED_VALUE"""),1)</f>
        <v>1</v>
      </c>
      <c r="T2" s="3" t="str">
        <f ca="1">IFERROR(__xludf.DUMMYFUNCTION("""COMPUTED_VALUE"""),"Norman North")</f>
        <v>Norman North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IFERROR(__xludf.DUMMYFUNCTION("""COMPUTED_VALUE"""),45538.4100004398)</f>
        <v>45538.410000439799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IFERROR(__xludf.DUMMYFUNCTION("""COMPUTED_VALUE"""),627)</f>
        <v>627</v>
      </c>
      <c r="D3" s="3"/>
      <c r="E3" s="3"/>
      <c r="F3" s="6"/>
      <c r="G3" s="3"/>
      <c r="H3" s="3"/>
      <c r="I3" s="3"/>
      <c r="J3" s="3"/>
      <c r="K3" s="3"/>
      <c r="L3" s="3"/>
      <c r="M3" s="3"/>
      <c r="N3" s="3">
        <f ca="1">IFERROR(__xludf.DUMMYFUNCTION("""COMPUTED_VALUE"""),170)</f>
        <v>170</v>
      </c>
      <c r="O3" s="3">
        <f ca="1">IFERROR(__xludf.DUMMYFUNCTION("""COMPUTED_VALUE"""),17782)</f>
        <v>17782</v>
      </c>
      <c r="P3" s="3"/>
      <c r="Q3" s="3"/>
      <c r="R3" s="3"/>
      <c r="S3" s="3"/>
      <c r="T3" s="3" t="str">
        <f ca="1">IFERROR(__xludf.DUMMYFUNCTION("""COMPUTED_VALUE"""),"Norman North")</f>
        <v>Norman North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IFERROR(__xludf.DUMMYFUNCTION("""COMPUTED_VALUE"""),45555.4482330555)</f>
        <v>45555.448233055497</v>
      </c>
      <c r="B4" s="3" t="str">
        <f ca="1">IFERROR(__xludf.DUMMYFUNCTION("""COMPUTED_VALUE"""),"ksmith8@normanps.org")</f>
        <v>ksmith8@normanps.org</v>
      </c>
      <c r="C4" s="3"/>
      <c r="D4" s="3"/>
      <c r="E4" s="3"/>
      <c r="F4" s="6"/>
      <c r="G4" s="3">
        <f ca="1">IFERROR(__xludf.DUMMYFUNCTION("""COMPUTED_VALUE"""),6)</f>
        <v>6</v>
      </c>
      <c r="H4" s="3"/>
      <c r="I4" s="3"/>
      <c r="J4" s="3"/>
      <c r="K4" s="3"/>
      <c r="L4" s="3"/>
      <c r="M4" s="3">
        <f ca="1">IFERROR(__xludf.DUMMYFUNCTION("""COMPUTED_VALUE"""),254)</f>
        <v>254</v>
      </c>
      <c r="N4" s="3"/>
      <c r="O4" s="3"/>
      <c r="P4" s="3" t="str">
        <f ca="1">IFERROR(__xludf.DUMMYFUNCTION("""COMPUTED_VALUE"""),"Pioneer Library System Norman Public Library West")</f>
        <v>Pioneer Library System Norman Public Library West</v>
      </c>
      <c r="Q4" s="3" t="str">
        <f ca="1">IFERROR(__xludf.DUMMYFUNCTION("""COMPUTED_VALUE"""),"OKSL Leadership Meeting as Past Chair")</f>
        <v>OKSL Leadership Meeting as Past Chair</v>
      </c>
      <c r="R4" s="3" t="str">
        <f ca="1">IFERROR(__xludf.DUMMYFUNCTION("""COMPUTED_VALUE"""),"9th Grade Library Orientations")</f>
        <v>9th Grade Library Orientations</v>
      </c>
      <c r="S4" s="3">
        <f ca="1">IFERROR(__xludf.DUMMYFUNCTION("""COMPUTED_VALUE"""),2)</f>
        <v>2</v>
      </c>
      <c r="T4" s="3" t="str">
        <f ca="1">IFERROR(__xludf.DUMMYFUNCTION("""COMPUTED_VALUE"""),"Norman North")</f>
        <v>Norman North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IFERROR(__xludf.DUMMYFUNCTION("""COMPUTED_VALUE"""),45555.5128399652)</f>
        <v>45555.512839965202</v>
      </c>
      <c r="B5" s="3" t="str">
        <f ca="1">IFERROR(__xludf.DUMMYFUNCTION("""COMPUTED_VALUE"""),"ksmith8@normanps.org")</f>
        <v>ksmith8@normanps.org</v>
      </c>
      <c r="C5" s="3"/>
      <c r="D5" s="3"/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 t="str">
        <f ca="1">IFERROR(__xludf.DUMMYFUNCTION("""COMPUTED_VALUE"""),"AASL Committee Chair Meeting as Best Digital Tools Committee Chair")</f>
        <v>AASL Committee Chair Meeting as Best Digital Tools Committee Chair</v>
      </c>
      <c r="R5" s="3"/>
      <c r="S5" s="3"/>
      <c r="T5" s="3" t="str">
        <f ca="1">IFERROR(__xludf.DUMMYFUNCTION("""COMPUTED_VALUE"""),"Norman North")</f>
        <v>Norman North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IFERROR(__xludf.DUMMYFUNCTION("""COMPUTED_VALUE"""),45555.5130564814)</f>
        <v>45555.513056481403</v>
      </c>
      <c r="B6" s="3" t="str">
        <f ca="1">IFERROR(__xludf.DUMMYFUNCTION("""COMPUTED_VALUE"""),"ksmith8@normanps.org")</f>
        <v>ksmith8@normanps.org</v>
      </c>
      <c r="C6" s="3"/>
      <c r="D6" s="3"/>
      <c r="E6" s="3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 t="str">
        <f ca="1">IFERROR(__xludf.DUMMYFUNCTION("""COMPUTED_VALUE"""),"ML3 Advisory Board Meeting")</f>
        <v>ML3 Advisory Board Meeting</v>
      </c>
      <c r="R6" s="3"/>
      <c r="S6" s="3"/>
      <c r="T6" s="3" t="str">
        <f ca="1">IFERROR(__xludf.DUMMYFUNCTION("""COMPUTED_VALUE"""),"Norman North")</f>
        <v>Norman North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IFERROR(__xludf.DUMMYFUNCTION("""COMPUTED_VALUE"""),45558.4383300925)</f>
        <v>45558.438330092496</v>
      </c>
      <c r="B7" s="3" t="str">
        <f ca="1">IFERROR(__xludf.DUMMYFUNCTION("""COMPUTED_VALUE"""),"ksmith8@normanps.org")</f>
        <v>ksmith8@normanps.org</v>
      </c>
      <c r="C7" s="3"/>
      <c r="D7" s="3">
        <f ca="1">IFERROR(__xludf.DUMMYFUNCTION("""COMPUTED_VALUE"""),3)</f>
        <v>3</v>
      </c>
      <c r="E7" s="3"/>
      <c r="F7" s="6"/>
      <c r="G7" s="3"/>
      <c r="H7" s="3"/>
      <c r="I7" s="3" t="str">
        <f ca="1">IFERROR(__xludf.DUMMYFUNCTION("""COMPUTED_VALUE"""),"Include")</f>
        <v>Include</v>
      </c>
      <c r="J7" s="3" t="str">
        <f ca="1">IFERROR(__xludf.DUMMYFUNCTION("""COMPUTED_VALUE"""),"ELA")</f>
        <v>ELA</v>
      </c>
      <c r="K7" s="3" t="str">
        <f ca="1">IFERROR(__xludf.DUMMYFUNCTION("""COMPUTED_VALUE"""),"HS multi-grade class")</f>
        <v>HS multi-grade class</v>
      </c>
      <c r="L7" s="3"/>
      <c r="M7" s="3"/>
      <c r="N7" s="3"/>
      <c r="O7" s="3"/>
      <c r="P7" s="3"/>
      <c r="Q7" s="3"/>
      <c r="R7" s="3"/>
      <c r="S7" s="3"/>
      <c r="T7" s="3" t="str">
        <f ca="1">IFERROR(__xludf.DUMMYFUNCTION("""COMPUTED_VALUE"""),"Norman North")</f>
        <v>Norman North</v>
      </c>
      <c r="U7" s="3"/>
      <c r="V7" s="3"/>
      <c r="W7" s="3"/>
      <c r="X7" s="3"/>
      <c r="Y7" s="3"/>
      <c r="Z7" s="3"/>
      <c r="AA7" s="3"/>
      <c r="AB7" s="3"/>
      <c r="AC7" s="3"/>
    </row>
    <row r="8" spans="1:36" ht="13" x14ac:dyDescent="0.15">
      <c r="A8" s="2">
        <f ca="1">IFERROR(__xludf.DUMMYFUNCTION("""COMPUTED_VALUE"""),45558.4393901041)</f>
        <v>45558.439390104097</v>
      </c>
      <c r="B8" s="3" t="str">
        <f ca="1">IFERROR(__xludf.DUMMYFUNCTION("""COMPUTED_VALUE"""),"ksmith8@normanps.org")</f>
        <v>ksmith8@normanps.org</v>
      </c>
      <c r="C8" s="3"/>
      <c r="D8" s="3">
        <f ca="1">IFERROR(__xludf.DUMMYFUNCTION("""COMPUTED_VALUE"""),2)</f>
        <v>2</v>
      </c>
      <c r="E8" s="3"/>
      <c r="F8" s="6"/>
      <c r="G8" s="3"/>
      <c r="H8" s="3"/>
      <c r="I8" s="3" t="str">
        <f ca="1">IFERROR(__xludf.DUMMYFUNCTION("""COMPUTED_VALUE"""),"Include")</f>
        <v>Include</v>
      </c>
      <c r="J8" s="3" t="str">
        <f ca="1">IFERROR(__xludf.DUMMYFUNCTION("""COMPUTED_VALUE"""),"ELA")</f>
        <v>ELA</v>
      </c>
      <c r="K8" s="3" t="str">
        <f ca="1">IFERROR(__xludf.DUMMYFUNCTION("""COMPUTED_VALUE"""),"Tenth")</f>
        <v>Tenth</v>
      </c>
      <c r="L8" s="3" t="str">
        <f ca="1">IFERROR(__xludf.DUMMYFUNCTION("""COMPUTED_VALUE"""),"3D Printing")</f>
        <v>3D Printing</v>
      </c>
      <c r="M8" s="3"/>
      <c r="N8" s="3"/>
      <c r="O8" s="3"/>
      <c r="P8" s="3"/>
      <c r="Q8" s="3" t="str">
        <f ca="1">IFERROR(__xludf.DUMMYFUNCTION("""COMPUTED_VALUE"""),"OLA Executive Board Meeting as Secretary")</f>
        <v>OLA Executive Board Meeting as Secretary</v>
      </c>
      <c r="R8" s="3"/>
      <c r="S8" s="3"/>
      <c r="T8" s="3" t="str">
        <f ca="1">IFERROR(__xludf.DUMMYFUNCTION("""COMPUTED_VALUE"""),"Norman North")</f>
        <v>Norman North</v>
      </c>
      <c r="U8" s="3"/>
      <c r="V8" s="3"/>
      <c r="W8" s="3"/>
      <c r="X8" s="3"/>
      <c r="Y8" s="3"/>
      <c r="Z8" s="3"/>
      <c r="AA8" s="3"/>
      <c r="AB8" s="3"/>
      <c r="AC8" s="3"/>
    </row>
    <row r="9" spans="1:36" ht="13" x14ac:dyDescent="0.15">
      <c r="A9" s="2">
        <f ca="1">IFERROR(__xludf.DUMMYFUNCTION("""COMPUTED_VALUE"""),45558.4397179398)</f>
        <v>45558.4397179398</v>
      </c>
      <c r="B9" s="3" t="str">
        <f ca="1">IFERROR(__xludf.DUMMYFUNCTION("""COMPUTED_VALUE"""),"ksmith8@normanps.org")</f>
        <v>ksmith8@normanps.org</v>
      </c>
      <c r="C9" s="3"/>
      <c r="D9" s="3">
        <f ca="1">IFERROR(__xludf.DUMMYFUNCTION("""COMPUTED_VALUE"""),1)</f>
        <v>1</v>
      </c>
      <c r="E9" s="3"/>
      <c r="F9" s="6"/>
      <c r="G9" s="3"/>
      <c r="H9" s="3"/>
      <c r="I9" s="3" t="str">
        <f ca="1">IFERROR(__xludf.DUMMYFUNCTION("""COMPUTED_VALUE"""),"Include")</f>
        <v>Include</v>
      </c>
      <c r="J9" s="3" t="str">
        <f ca="1">IFERROR(__xludf.DUMMYFUNCTION("""COMPUTED_VALUE"""),"ELA")</f>
        <v>ELA</v>
      </c>
      <c r="K9" s="3" t="str">
        <f ca="1">IFERROR(__xludf.DUMMYFUNCTION("""COMPUTED_VALUE"""),"Twelfth")</f>
        <v>Twelfth</v>
      </c>
      <c r="L9" s="3"/>
      <c r="M9" s="3"/>
      <c r="N9" s="3"/>
      <c r="O9" s="3"/>
      <c r="P9" s="3"/>
      <c r="Q9" s="3"/>
      <c r="R9" s="3"/>
      <c r="S9" s="3"/>
      <c r="T9" s="3" t="str">
        <f ca="1">IFERROR(__xludf.DUMMYFUNCTION("""COMPUTED_VALUE"""),"Norman North")</f>
        <v>Norman North</v>
      </c>
      <c r="U9" s="3"/>
      <c r="V9" s="3"/>
      <c r="W9" s="3"/>
      <c r="X9" s="3"/>
      <c r="Y9" s="3"/>
      <c r="Z9" s="3"/>
      <c r="AA9" s="3"/>
      <c r="AB9" s="3"/>
      <c r="AC9" s="3"/>
    </row>
    <row r="10" spans="1:36" ht="13" x14ac:dyDescent="0.15">
      <c r="A10" s="2">
        <f ca="1">IFERROR(__xludf.DUMMYFUNCTION("""COMPUTED_VALUE"""),45558.4401104745)</f>
        <v>45558.440110474497</v>
      </c>
      <c r="B10" s="3" t="str">
        <f ca="1">IFERROR(__xludf.DUMMYFUNCTION("""COMPUTED_VALUE"""),"ksmith8@normanps.org")</f>
        <v>ksmith8@normanps.org</v>
      </c>
      <c r="C10" s="3"/>
      <c r="D10" s="3">
        <f ca="1">IFERROR(__xludf.DUMMYFUNCTION("""COMPUTED_VALUE"""),1)</f>
        <v>1</v>
      </c>
      <c r="E10" s="3"/>
      <c r="F10" s="6"/>
      <c r="G10" s="3"/>
      <c r="H10" s="3"/>
      <c r="I10" s="3" t="str">
        <f ca="1">IFERROR(__xludf.DUMMYFUNCTION("""COMPUTED_VALUE"""),"Include")</f>
        <v>Include</v>
      </c>
      <c r="J10" s="3" t="str">
        <f ca="1">IFERROR(__xludf.DUMMYFUNCTION("""COMPUTED_VALUE"""),"ELA")</f>
        <v>ELA</v>
      </c>
      <c r="K10" s="3" t="str">
        <f ca="1">IFERROR(__xludf.DUMMYFUNCTION("""COMPUTED_VALUE"""),"Ninth")</f>
        <v>Ninth</v>
      </c>
      <c r="L10" s="3"/>
      <c r="M10" s="3"/>
      <c r="N10" s="3"/>
      <c r="O10" s="3"/>
      <c r="P10" s="3"/>
      <c r="Q10" s="3"/>
      <c r="R10" s="3"/>
      <c r="S10" s="3"/>
      <c r="T10" s="3" t="str">
        <f ca="1">IFERROR(__xludf.DUMMYFUNCTION("""COMPUTED_VALUE"""),"Norman North")</f>
        <v>Norman North</v>
      </c>
      <c r="U10" s="3"/>
      <c r="V10" s="3"/>
      <c r="W10" s="3"/>
      <c r="X10" s="3"/>
      <c r="Y10" s="3"/>
      <c r="Z10" s="3"/>
      <c r="AA10" s="3"/>
      <c r="AB10" s="3"/>
      <c r="AC10" s="3"/>
    </row>
    <row r="11" spans="1:36" ht="13" x14ac:dyDescent="0.15">
      <c r="A11" s="2">
        <f ca="1">IFERROR(__xludf.DUMMYFUNCTION("""COMPUTED_VALUE"""),45558.4409278472)</f>
        <v>45558.440927847201</v>
      </c>
      <c r="B11" s="3" t="str">
        <f ca="1">IFERROR(__xludf.DUMMYFUNCTION("""COMPUTED_VALUE"""),"ksmith8@normanps.org")</f>
        <v>ksmith8@normanps.org</v>
      </c>
      <c r="C11" s="3"/>
      <c r="D11" s="3">
        <f ca="1">IFERROR(__xludf.DUMMYFUNCTION("""COMPUTED_VALUE"""),1)</f>
        <v>1</v>
      </c>
      <c r="E11" s="3"/>
      <c r="F11" s="6"/>
      <c r="G11" s="3"/>
      <c r="H11" s="3"/>
      <c r="I11" s="3" t="str">
        <f ca="1">IFERROR(__xludf.DUMMYFUNCTION("""COMPUTED_VALUE"""),"Collaborate")</f>
        <v>Collaborate</v>
      </c>
      <c r="J11" s="3" t="str">
        <f ca="1">IFERROR(__xludf.DUMMYFUNCTION("""COMPUTED_VALUE"""),"ELA")</f>
        <v>ELA</v>
      </c>
      <c r="K11" s="3" t="str">
        <f ca="1">IFERROR(__xludf.DUMMYFUNCTION("""COMPUTED_VALUE"""),"Twelfth")</f>
        <v>Twelfth</v>
      </c>
      <c r="L11" s="3"/>
      <c r="M11" s="3"/>
      <c r="N11" s="3"/>
      <c r="O11" s="3"/>
      <c r="P11" s="3"/>
      <c r="Q11" s="3"/>
      <c r="R11" s="3"/>
      <c r="S11" s="3"/>
      <c r="T11" s="3" t="str">
        <f ca="1">IFERROR(__xludf.DUMMYFUNCTION("""COMPUTED_VALUE"""),"Norman North")</f>
        <v>Norman North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36" ht="13" x14ac:dyDescent="0.15">
      <c r="A12" s="2">
        <f ca="1">IFERROR(__xludf.DUMMYFUNCTION("""COMPUTED_VALUE"""),45558.4414006134)</f>
        <v>45558.441400613403</v>
      </c>
      <c r="B12" s="3" t="str">
        <f ca="1">IFERROR(__xludf.DUMMYFUNCTION("""COMPUTED_VALUE"""),"ksmith8@normanps.org")</f>
        <v>ksmith8@normanps.org</v>
      </c>
      <c r="C12" s="3"/>
      <c r="D12" s="3">
        <f ca="1">IFERROR(__xludf.DUMMYFUNCTION("""COMPUTED_VALUE"""),18)</f>
        <v>18</v>
      </c>
      <c r="E12" s="3"/>
      <c r="F12" s="6"/>
      <c r="G12" s="3"/>
      <c r="H12" s="3"/>
      <c r="I12" s="3" t="str">
        <f ca="1">IFERROR(__xludf.DUMMYFUNCTION("""COMPUTED_VALUE"""),"Engage")</f>
        <v>Engage</v>
      </c>
      <c r="J12" s="3" t="str">
        <f ca="1">IFERROR(__xludf.DUMMYFUNCTION("""COMPUTED_VALUE"""),"Social Studies")</f>
        <v>Social Studies</v>
      </c>
      <c r="K12" s="3" t="str">
        <f ca="1">IFERROR(__xludf.DUMMYFUNCTION("""COMPUTED_VALUE"""),"HS multi-grade class")</f>
        <v>HS multi-grade class</v>
      </c>
      <c r="L12" s="3"/>
      <c r="M12" s="3"/>
      <c r="N12" s="3"/>
      <c r="O12" s="3"/>
      <c r="P12" s="3"/>
      <c r="Q12" s="3"/>
      <c r="R12" s="3"/>
      <c r="S12" s="3"/>
      <c r="T12" s="3" t="str">
        <f ca="1">IFERROR(__xludf.DUMMYFUNCTION("""COMPUTED_VALUE"""),"Norman North")</f>
        <v>Norman North</v>
      </c>
      <c r="U12" s="3"/>
      <c r="V12" s="3"/>
      <c r="W12" s="3"/>
      <c r="X12" s="3"/>
      <c r="Y12" s="3"/>
      <c r="Z12" s="3"/>
      <c r="AA12" s="3"/>
      <c r="AB12" s="3"/>
      <c r="AC12" s="3"/>
    </row>
    <row r="13" spans="1:36" ht="13" x14ac:dyDescent="0.15">
      <c r="A13" s="2">
        <f ca="1">IFERROR(__xludf.DUMMYFUNCTION("""COMPUTED_VALUE"""),45558.4418506481)</f>
        <v>45558.441850648102</v>
      </c>
      <c r="B13" s="3" t="str">
        <f ca="1">IFERROR(__xludf.DUMMYFUNCTION("""COMPUTED_VALUE"""),"ksmith8@normanps.org")</f>
        <v>ksmith8@normanps.org</v>
      </c>
      <c r="C13" s="3"/>
      <c r="D13" s="3">
        <f ca="1">IFERROR(__xludf.DUMMYFUNCTION("""COMPUTED_VALUE"""),1)</f>
        <v>1</v>
      </c>
      <c r="E13" s="3"/>
      <c r="F13" s="6"/>
      <c r="G13" s="3"/>
      <c r="H13" s="3"/>
      <c r="I13" s="3" t="str">
        <f ca="1">IFERROR(__xludf.DUMMYFUNCTION("""COMPUTED_VALUE"""),"Engage")</f>
        <v>Engage</v>
      </c>
      <c r="J13" s="3" t="str">
        <f ca="1">IFERROR(__xludf.DUMMYFUNCTION("""COMPUTED_VALUE"""),"Science")</f>
        <v>Science</v>
      </c>
      <c r="K13" s="3" t="str">
        <f ca="1">IFERROR(__xludf.DUMMYFUNCTION("""COMPUTED_VALUE"""),"HS multi-grade class")</f>
        <v>HS multi-grade class</v>
      </c>
      <c r="L13" s="3"/>
      <c r="M13" s="3"/>
      <c r="N13" s="3"/>
      <c r="O13" s="3"/>
      <c r="P13" s="3"/>
      <c r="Q13" s="3"/>
      <c r="R13" s="3"/>
      <c r="S13" s="3"/>
      <c r="T13" s="3" t="str">
        <f ca="1">IFERROR(__xludf.DUMMYFUNCTION("""COMPUTED_VALUE"""),"Norman North")</f>
        <v>Norman North</v>
      </c>
      <c r="U13" s="3"/>
      <c r="V13" s="3"/>
      <c r="W13" s="3"/>
      <c r="X13" s="3"/>
      <c r="Y13" s="3"/>
      <c r="Z13" s="3"/>
      <c r="AA13" s="3"/>
      <c r="AB13" s="3"/>
      <c r="AC13" s="3"/>
    </row>
    <row r="14" spans="1:36" ht="13" x14ac:dyDescent="0.15">
      <c r="A14" s="2">
        <f ca="1">IFERROR(__xludf.DUMMYFUNCTION("""COMPUTED_VALUE"""),45558.4447160069)</f>
        <v>45558.444716006903</v>
      </c>
      <c r="B14" s="3" t="str">
        <f ca="1">IFERROR(__xludf.DUMMYFUNCTION("""COMPUTED_VALUE"""),"ksmith8@normanps.org")</f>
        <v>ksmith8@normanps.org</v>
      </c>
      <c r="C14" s="3"/>
      <c r="D14" s="3">
        <f ca="1">IFERROR(__xludf.DUMMYFUNCTION("""COMPUTED_VALUE"""),23)</f>
        <v>23</v>
      </c>
      <c r="E14" s="3"/>
      <c r="F14" s="6"/>
      <c r="G14" s="3"/>
      <c r="H14" s="3"/>
      <c r="I14" s="3" t="str">
        <f ca="1">IFERROR(__xludf.DUMMYFUNCTION("""COMPUTED_VALUE"""),"Explore")</f>
        <v>Explore</v>
      </c>
      <c r="J14" s="3" t="str">
        <f ca="1">IFERROR(__xludf.DUMMYFUNCTION("""COMPUTED_VALUE"""),"ELA")</f>
        <v>ELA</v>
      </c>
      <c r="K14" s="3" t="str">
        <f ca="1">IFERROR(__xludf.DUMMYFUNCTION("""COMPUTED_VALUE"""),"Ninth")</f>
        <v>Ninth</v>
      </c>
      <c r="L14" s="3"/>
      <c r="M14" s="3"/>
      <c r="N14" s="3"/>
      <c r="O14" s="3"/>
      <c r="P14" s="3"/>
      <c r="Q14" s="3"/>
      <c r="R14" s="3"/>
      <c r="S14" s="3"/>
      <c r="T14" s="3" t="str">
        <f ca="1">IFERROR(__xludf.DUMMYFUNCTION("""COMPUTED_VALUE"""),"Norman North")</f>
        <v>Norman North</v>
      </c>
      <c r="U14" s="3"/>
      <c r="V14" s="3"/>
      <c r="W14" s="3"/>
      <c r="X14" s="3"/>
      <c r="Y14" s="3"/>
      <c r="Z14" s="3"/>
      <c r="AA14" s="3"/>
      <c r="AB14" s="3"/>
      <c r="AC14" s="3"/>
    </row>
    <row r="15" spans="1:36" ht="13" x14ac:dyDescent="0.15">
      <c r="A15" s="2">
        <f ca="1">IFERROR(__xludf.DUMMYFUNCTION("""COMPUTED_VALUE"""),45558.4452581828)</f>
        <v>45558.445258182801</v>
      </c>
      <c r="B15" s="3" t="str">
        <f ca="1">IFERROR(__xludf.DUMMYFUNCTION("""COMPUTED_VALUE"""),"ksmith8@normanps.org")</f>
        <v>ksmith8@normanps.org</v>
      </c>
      <c r="C15" s="3"/>
      <c r="D15" s="3">
        <f ca="1">IFERROR(__xludf.DUMMYFUNCTION("""COMPUTED_VALUE"""),1)</f>
        <v>1</v>
      </c>
      <c r="E15" s="3"/>
      <c r="F15" s="6"/>
      <c r="G15" s="3"/>
      <c r="H15" s="3"/>
      <c r="I15" s="3" t="str">
        <f ca="1">IFERROR(__xludf.DUMMYFUNCTION("""COMPUTED_VALUE"""),"Inquire")</f>
        <v>Inquire</v>
      </c>
      <c r="J15" s="3" t="str">
        <f ca="1">IFERROR(__xludf.DUMMYFUNCTION("""COMPUTED_VALUE"""),"ELA")</f>
        <v>ELA</v>
      </c>
      <c r="K15" s="3" t="str">
        <f ca="1">IFERROR(__xludf.DUMMYFUNCTION("""COMPUTED_VALUE"""),"HS multi-grade class")</f>
        <v>HS multi-grade class</v>
      </c>
      <c r="L15" s="3"/>
      <c r="M15" s="3"/>
      <c r="N15" s="3"/>
      <c r="O15" s="3"/>
      <c r="P15" s="3"/>
      <c r="Q15" s="3"/>
      <c r="R15" s="3"/>
      <c r="S15" s="3"/>
      <c r="T15" s="3" t="str">
        <f ca="1">IFERROR(__xludf.DUMMYFUNCTION("""COMPUTED_VALUE"""),"Norman North")</f>
        <v>Norman North</v>
      </c>
      <c r="U15" s="3"/>
      <c r="V15" s="3"/>
      <c r="W15" s="3"/>
      <c r="X15" s="3"/>
      <c r="Y15" s="3"/>
      <c r="Z15" s="3"/>
      <c r="AA15" s="3"/>
      <c r="AB15" s="3"/>
      <c r="AC15" s="3"/>
    </row>
    <row r="16" spans="1:36" ht="13" x14ac:dyDescent="0.15">
      <c r="A16" s="2">
        <f ca="1">IFERROR(__xludf.DUMMYFUNCTION("""COMPUTED_VALUE"""),45558.4455480671)</f>
        <v>45558.445548067102</v>
      </c>
      <c r="B16" s="3" t="str">
        <f ca="1">IFERROR(__xludf.DUMMYFUNCTION("""COMPUTED_VALUE"""),"ksmith8@normanps.org")</f>
        <v>ksmith8@normanps.org</v>
      </c>
      <c r="C16" s="3"/>
      <c r="D16" s="3">
        <f ca="1">IFERROR(__xludf.DUMMYFUNCTION("""COMPUTED_VALUE"""),2)</f>
        <v>2</v>
      </c>
      <c r="E16" s="3"/>
      <c r="F16" s="6"/>
      <c r="G16" s="3"/>
      <c r="H16" s="3"/>
      <c r="I16" s="3" t="str">
        <f ca="1">IFERROR(__xludf.DUMMYFUNCTION("""COMPUTED_VALUE"""),"Inquire")</f>
        <v>Inquire</v>
      </c>
      <c r="J16" s="3" t="str">
        <f ca="1">IFERROR(__xludf.DUMMYFUNCTION("""COMPUTED_VALUE"""),"ELA")</f>
        <v>ELA</v>
      </c>
      <c r="K16" s="3" t="str">
        <f ca="1">IFERROR(__xludf.DUMMYFUNCTION("""COMPUTED_VALUE"""),"HS multi-grade class")</f>
        <v>HS multi-grade class</v>
      </c>
      <c r="L16" s="3"/>
      <c r="M16" s="3"/>
      <c r="N16" s="3"/>
      <c r="O16" s="3"/>
      <c r="P16" s="3"/>
      <c r="Q16" s="3"/>
      <c r="R16" s="3"/>
      <c r="S16" s="3"/>
      <c r="T16" s="3" t="str">
        <f ca="1">IFERROR(__xludf.DUMMYFUNCTION("""COMPUTED_VALUE"""),"Norman North")</f>
        <v>Norman North</v>
      </c>
      <c r="U16" s="3"/>
      <c r="V16" s="3"/>
      <c r="W16" s="3"/>
      <c r="X16" s="3"/>
      <c r="Y16" s="3"/>
      <c r="Z16" s="3"/>
      <c r="AA16" s="3"/>
      <c r="AB16" s="3"/>
      <c r="AC16" s="3"/>
    </row>
    <row r="17" spans="1:29" ht="13" x14ac:dyDescent="0.15">
      <c r="A17" s="2">
        <f ca="1">IFERROR(__xludf.DUMMYFUNCTION("""COMPUTED_VALUE"""),45558.4466535185)</f>
        <v>45558.446653518498</v>
      </c>
      <c r="B17" s="3" t="str">
        <f ca="1">IFERROR(__xludf.DUMMYFUNCTION("""COMPUTED_VALUE"""),"ksmith8@normanps.org")</f>
        <v>ksmith8@normanps.org</v>
      </c>
      <c r="C17" s="3"/>
      <c r="D17" s="3">
        <f ca="1">IFERROR(__xludf.DUMMYFUNCTION("""COMPUTED_VALUE"""),1)</f>
        <v>1</v>
      </c>
      <c r="E17" s="3"/>
      <c r="F17" s="6"/>
      <c r="G17" s="3"/>
      <c r="H17" s="3"/>
      <c r="I17" s="3" t="str">
        <f ca="1">IFERROR(__xludf.DUMMYFUNCTION("""COMPUTED_VALUE"""),"Include")</f>
        <v>Include</v>
      </c>
      <c r="J17" s="3" t="str">
        <f ca="1">IFERROR(__xludf.DUMMYFUNCTION("""COMPUTED_VALUE"""),"EL")</f>
        <v>EL</v>
      </c>
      <c r="K17" s="3" t="str">
        <f ca="1">IFERROR(__xludf.DUMMYFUNCTION("""COMPUTED_VALUE"""),"Ninth")</f>
        <v>Ninth</v>
      </c>
      <c r="L17" s="3"/>
      <c r="M17" s="3"/>
      <c r="N17" s="3"/>
      <c r="O17" s="3"/>
      <c r="P17" s="3"/>
      <c r="Q17" s="3"/>
      <c r="R17" s="3"/>
      <c r="S17" s="3"/>
      <c r="T17" s="3" t="str">
        <f ca="1">IFERROR(__xludf.DUMMYFUNCTION("""COMPUTED_VALUE"""),"Norman North")</f>
        <v>Norman North</v>
      </c>
      <c r="U17" s="3"/>
      <c r="V17" s="3"/>
      <c r="W17" s="3"/>
      <c r="X17" s="3"/>
      <c r="Y17" s="3"/>
      <c r="Z17" s="3"/>
      <c r="AA17" s="3"/>
      <c r="AB17" s="3"/>
      <c r="AC17" s="3"/>
    </row>
    <row r="18" spans="1:29" ht="13" x14ac:dyDescent="0.15">
      <c r="A18" s="2">
        <f ca="1">IFERROR(__xludf.DUMMYFUNCTION("""COMPUTED_VALUE"""),45558.4470586342)</f>
        <v>45558.447058634199</v>
      </c>
      <c r="B18" s="3" t="str">
        <f ca="1">IFERROR(__xludf.DUMMYFUNCTION("""COMPUTED_VALUE"""),"ksmith8@normanps.org")</f>
        <v>ksmith8@normanps.org</v>
      </c>
      <c r="C18" s="3"/>
      <c r="D18" s="3">
        <f ca="1">IFERROR(__xludf.DUMMYFUNCTION("""COMPUTED_VALUE"""),1)</f>
        <v>1</v>
      </c>
      <c r="E18" s="3"/>
      <c r="F18" s="6"/>
      <c r="G18" s="3"/>
      <c r="H18" s="3"/>
      <c r="I18" s="3" t="str">
        <f ca="1">IFERROR(__xludf.DUMMYFUNCTION("""COMPUTED_VALUE"""),"Include")</f>
        <v>Include</v>
      </c>
      <c r="J18" s="3" t="str">
        <f ca="1">IFERROR(__xludf.DUMMYFUNCTION("""COMPUTED_VALUE"""),"EL")</f>
        <v>EL</v>
      </c>
      <c r="K18" s="3" t="str">
        <f ca="1">IFERROR(__xludf.DUMMYFUNCTION("""COMPUTED_VALUE"""),"Tenth")</f>
        <v>Tenth</v>
      </c>
      <c r="L18" s="3"/>
      <c r="M18" s="3"/>
      <c r="N18" s="3"/>
      <c r="O18" s="3"/>
      <c r="P18" s="3"/>
      <c r="Q18" s="3"/>
      <c r="R18" s="3"/>
      <c r="S18" s="3"/>
      <c r="T18" s="3" t="str">
        <f ca="1">IFERROR(__xludf.DUMMYFUNCTION("""COMPUTED_VALUE"""),"Norman North")</f>
        <v>Norman North</v>
      </c>
      <c r="U18" s="3"/>
      <c r="V18" s="3"/>
      <c r="W18" s="3"/>
      <c r="X18" s="3"/>
      <c r="Y18" s="3"/>
      <c r="Z18" s="3"/>
      <c r="AA18" s="3"/>
      <c r="AB18" s="3"/>
      <c r="AC18" s="3"/>
    </row>
    <row r="19" spans="1:29" ht="13" x14ac:dyDescent="0.15">
      <c r="A19" s="2">
        <f ca="1">IFERROR(__xludf.DUMMYFUNCTION("""COMPUTED_VALUE"""),45558.4473153472)</f>
        <v>45558.447315347199</v>
      </c>
      <c r="B19" s="3" t="str">
        <f ca="1">IFERROR(__xludf.DUMMYFUNCTION("""COMPUTED_VALUE"""),"ksmith8@normanps.org")</f>
        <v>ksmith8@normanps.org</v>
      </c>
      <c r="C19" s="3"/>
      <c r="D19" s="3">
        <f ca="1">IFERROR(__xludf.DUMMYFUNCTION("""COMPUTED_VALUE"""),1)</f>
        <v>1</v>
      </c>
      <c r="E19" s="3"/>
      <c r="F19" s="6"/>
      <c r="G19" s="3"/>
      <c r="H19" s="3"/>
      <c r="I19" s="3" t="str">
        <f ca="1">IFERROR(__xludf.DUMMYFUNCTION("""COMPUTED_VALUE"""),"Include")</f>
        <v>Include</v>
      </c>
      <c r="J19" s="3" t="str">
        <f ca="1">IFERROR(__xludf.DUMMYFUNCTION("""COMPUTED_VALUE"""),"EL")</f>
        <v>EL</v>
      </c>
      <c r="K19" s="3" t="str">
        <f ca="1">IFERROR(__xludf.DUMMYFUNCTION("""COMPUTED_VALUE"""),"HS multi-grade class")</f>
        <v>HS multi-grade class</v>
      </c>
      <c r="L19" s="3"/>
      <c r="M19" s="3"/>
      <c r="N19" s="3"/>
      <c r="O19" s="3"/>
      <c r="P19" s="3"/>
      <c r="Q19" s="3"/>
      <c r="R19" s="3"/>
      <c r="S19" s="3"/>
      <c r="T19" s="3" t="str">
        <f ca="1">IFERROR(__xludf.DUMMYFUNCTION("""COMPUTED_VALUE"""),"Norman North")</f>
        <v>Norman North</v>
      </c>
      <c r="U19" s="3"/>
      <c r="V19" s="3"/>
      <c r="W19" s="3"/>
      <c r="X19" s="3"/>
      <c r="Y19" s="3"/>
      <c r="Z19" s="3"/>
      <c r="AA19" s="3"/>
      <c r="AB19" s="3"/>
      <c r="AC19" s="3"/>
    </row>
    <row r="20" spans="1:29" ht="13" x14ac:dyDescent="0.15">
      <c r="A20" s="2">
        <f ca="1">IFERROR(__xludf.DUMMYFUNCTION("""COMPUTED_VALUE"""),45558.4482295717)</f>
        <v>45558.448229571703</v>
      </c>
      <c r="B20" s="3" t="str">
        <f ca="1">IFERROR(__xludf.DUMMYFUNCTION("""COMPUTED_VALUE"""),"ksmith8@normanps.org")</f>
        <v>ksmith8@normanps.org</v>
      </c>
      <c r="C20" s="3"/>
      <c r="D20" s="3"/>
      <c r="E20" s="3"/>
      <c r="F20" s="6"/>
      <c r="G20" s="3"/>
      <c r="H20" s="3"/>
      <c r="I20" s="3"/>
      <c r="J20" s="3"/>
      <c r="K20" s="3"/>
      <c r="L20" s="3" t="str">
        <f ca="1">IFERROR(__xludf.DUMMYFUNCTION("""COMPUTED_VALUE"""),"Audio Lab")</f>
        <v>Audio Lab</v>
      </c>
      <c r="M20" s="3"/>
      <c r="N20" s="3"/>
      <c r="O20" s="3"/>
      <c r="P20" s="3"/>
      <c r="Q20" s="3" t="str">
        <f ca="1">IFERROR(__xludf.DUMMYFUNCTION("""COMPUTED_VALUE"""),"North Academic Council as Library/Media/Department Chair")</f>
        <v>North Academic Council as Library/Media/Department Chair</v>
      </c>
      <c r="R20" s="3"/>
      <c r="S20" s="3"/>
      <c r="T20" s="3" t="str">
        <f ca="1">IFERROR(__xludf.DUMMYFUNCTION("""COMPUTED_VALUE"""),"Norman North")</f>
        <v>Norman North</v>
      </c>
      <c r="U20" s="3"/>
      <c r="V20" s="3"/>
      <c r="W20" s="3"/>
      <c r="X20" s="3"/>
      <c r="Y20" s="3"/>
      <c r="Z20" s="3"/>
      <c r="AA20" s="3"/>
      <c r="AB20" s="3"/>
      <c r="AC20" s="3"/>
    </row>
    <row r="21" spans="1:29" ht="13" x14ac:dyDescent="0.15">
      <c r="A21" s="2">
        <f ca="1">IFERROR(__xludf.DUMMYFUNCTION("""COMPUTED_VALUE"""),45558.4486566203)</f>
        <v>45558.448656620298</v>
      </c>
      <c r="B21" s="3" t="str">
        <f ca="1">IFERROR(__xludf.DUMMYFUNCTION("""COMPUTED_VALUE"""),"ksmith8@normanps.org")</f>
        <v>ksmith8@normanps.org</v>
      </c>
      <c r="C21" s="3"/>
      <c r="D21" s="3"/>
      <c r="E21" s="3"/>
      <c r="F21" s="6"/>
      <c r="G21" s="3"/>
      <c r="H21" s="3"/>
      <c r="I21" s="3"/>
      <c r="J21" s="3"/>
      <c r="K21" s="3"/>
      <c r="L21" s="3" t="str">
        <f ca="1">IFERROR(__xludf.DUMMYFUNCTION("""COMPUTED_VALUE"""),"Art Supplies")</f>
        <v>Art Supplies</v>
      </c>
      <c r="M21" s="3"/>
      <c r="N21" s="3"/>
      <c r="O21" s="3"/>
      <c r="P21" s="3"/>
      <c r="Q21" s="3" t="str">
        <f ca="1">IFERROR(__xludf.DUMMYFUNCTION("""COMPUTED_VALUE"""),"North Advisory Lead Meeting as 9th Grade Advisory Lead")</f>
        <v>North Advisory Lead Meeting as 9th Grade Advisory Lead</v>
      </c>
      <c r="R21" s="3"/>
      <c r="S21" s="3"/>
      <c r="T21" s="3" t="str">
        <f ca="1">IFERROR(__xludf.DUMMYFUNCTION("""COMPUTED_VALUE"""),"Norman North")</f>
        <v>Norman North</v>
      </c>
      <c r="U21" s="3"/>
      <c r="V21" s="3"/>
      <c r="W21" s="3"/>
      <c r="X21" s="3"/>
      <c r="Y21" s="3"/>
      <c r="Z21" s="3"/>
      <c r="AA21" s="3"/>
      <c r="AB21" s="3"/>
      <c r="AC21" s="3"/>
    </row>
    <row r="22" spans="1:29" ht="13" x14ac:dyDescent="0.15">
      <c r="A22" s="2">
        <f ca="1">IFERROR(__xludf.DUMMYFUNCTION("""COMPUTED_VALUE"""),45558.4490236342)</f>
        <v>45558.449023634203</v>
      </c>
      <c r="B22" s="3" t="str">
        <f ca="1">IFERROR(__xludf.DUMMYFUNCTION("""COMPUTED_VALUE"""),"ksmith8@normanps.org")</f>
        <v>ksmith8@normanps.org</v>
      </c>
      <c r="C22" s="3"/>
      <c r="D22" s="3"/>
      <c r="E22" s="3"/>
      <c r="F22" s="6"/>
      <c r="G22" s="3"/>
      <c r="H22" s="3"/>
      <c r="I22" s="3"/>
      <c r="J22" s="3"/>
      <c r="K22" s="3"/>
      <c r="L22" s="3" t="str">
        <f ca="1">IFERROR(__xludf.DUMMYFUNCTION("""COMPUTED_VALUE"""),"Cricut")</f>
        <v>Cricut</v>
      </c>
      <c r="M22" s="3"/>
      <c r="N22" s="3"/>
      <c r="O22" s="3"/>
      <c r="P22" s="3"/>
      <c r="Q22" s="3" t="str">
        <f ca="1">IFERROR(__xludf.DUMMYFUNCTION("""COMPUTED_VALUE"""),"North New Teacher Meetings as North New Teacher Liaison")</f>
        <v>North New Teacher Meetings as North New Teacher Liaison</v>
      </c>
      <c r="R22" s="3"/>
      <c r="S22" s="3"/>
      <c r="T22" s="3" t="str">
        <f ca="1">IFERROR(__xludf.DUMMYFUNCTION("""COMPUTED_VALUE"""),"Norman North")</f>
        <v>Norman North</v>
      </c>
      <c r="U22" s="3"/>
      <c r="V22" s="3"/>
      <c r="W22" s="3"/>
      <c r="X22" s="3"/>
      <c r="Y22" s="3"/>
      <c r="Z22" s="3"/>
      <c r="AA22" s="3"/>
      <c r="AB22" s="3"/>
      <c r="AC22" s="3"/>
    </row>
    <row r="23" spans="1:29" ht="13" x14ac:dyDescent="0.15">
      <c r="A23" s="2">
        <f ca="1">IFERROR(__xludf.DUMMYFUNCTION("""COMPUTED_VALUE"""),45558.449675706)</f>
        <v>45558.449675705997</v>
      </c>
      <c r="B23" s="3" t="str">
        <f ca="1">IFERROR(__xludf.DUMMYFUNCTION("""COMPUTED_VALUE"""),"ksmith8@normanps.org")</f>
        <v>ksmith8@normanps.org</v>
      </c>
      <c r="C23" s="3"/>
      <c r="D23" s="3"/>
      <c r="E23" s="3"/>
      <c r="F23" s="6"/>
      <c r="G23" s="3"/>
      <c r="H23" s="3"/>
      <c r="I23" s="3"/>
      <c r="J23" s="3"/>
      <c r="K23" s="3"/>
      <c r="L23" s="3" t="str">
        <f ca="1">IFERROR(__xludf.DUMMYFUNCTION("""COMPUTED_VALUE"""),"Cardboard")</f>
        <v>Cardboard</v>
      </c>
      <c r="M23" s="3"/>
      <c r="N23" s="3"/>
      <c r="O23" s="3"/>
      <c r="P23" s="3" t="str">
        <f ca="1">IFERROR(__xludf.DUMMYFUNCTION("""COMPUTED_VALUE"""),"Pioneer Library System Norman Public Library East")</f>
        <v>Pioneer Library System Norman Public Library East</v>
      </c>
      <c r="Q23" s="3"/>
      <c r="R23" s="3" t="str">
        <f ca="1">IFERROR(__xludf.DUMMYFUNCTION("""COMPUTED_VALUE"""),"9th Grade Library Orientations")</f>
        <v>9th Grade Library Orientations</v>
      </c>
      <c r="S23" s="3"/>
      <c r="T23" s="3" t="str">
        <f ca="1">IFERROR(__xludf.DUMMYFUNCTION("""COMPUTED_VALUE"""),"Norman North")</f>
        <v>Norman North</v>
      </c>
      <c r="U23" s="3"/>
      <c r="V23" s="3"/>
      <c r="W23" s="3"/>
      <c r="X23" s="3"/>
      <c r="Y23" s="3"/>
      <c r="Z23" s="3"/>
      <c r="AA23" s="3"/>
      <c r="AB23" s="3"/>
      <c r="AC23" s="3"/>
    </row>
    <row r="24" spans="1:29" ht="13" x14ac:dyDescent="0.15">
      <c r="A24" s="2">
        <f ca="1">IFERROR(__xludf.DUMMYFUNCTION("""COMPUTED_VALUE"""),45558.4502741898)</f>
        <v>45558.450274189803</v>
      </c>
      <c r="B24" s="3" t="str">
        <f ca="1">IFERROR(__xludf.DUMMYFUNCTION("""COMPUTED_VALUE"""),"ksmith8@normanps.org")</f>
        <v>ksmith8@normanps.org</v>
      </c>
      <c r="C24" s="3"/>
      <c r="D24" s="3"/>
      <c r="E24" s="3"/>
      <c r="F24" s="6"/>
      <c r="G24" s="3"/>
      <c r="H24" s="3"/>
      <c r="I24" s="3"/>
      <c r="J24" s="3"/>
      <c r="K24" s="3"/>
      <c r="L24" s="3" t="str">
        <f ca="1">IFERROR(__xludf.DUMMYFUNCTION("""COMPUTED_VALUE"""),"Sewing Supplies")</f>
        <v>Sewing Supplies</v>
      </c>
      <c r="M24" s="3"/>
      <c r="N24" s="3"/>
      <c r="O24" s="3"/>
      <c r="P24" s="3" t="str">
        <f ca="1">IFERROR(__xludf.DUMMYFUNCTION("""COMPUTED_VALUE"""),"Pioneer Library System Library Lab")</f>
        <v>Pioneer Library System Library Lab</v>
      </c>
      <c r="Q24" s="3"/>
      <c r="R24" s="3" t="str">
        <f ca="1">IFERROR(__xludf.DUMMYFUNCTION("""COMPUTED_VALUE"""),"9th Grade Library Orientations")</f>
        <v>9th Grade Library Orientations</v>
      </c>
      <c r="S24" s="3"/>
      <c r="T24" s="3" t="str">
        <f ca="1">IFERROR(__xludf.DUMMYFUNCTION("""COMPUTED_VALUE"""),"Norman North")</f>
        <v>Norman North</v>
      </c>
      <c r="U24" s="3"/>
      <c r="V24" s="3"/>
      <c r="W24" s="3"/>
      <c r="X24" s="3"/>
      <c r="Y24" s="3"/>
      <c r="Z24" s="3"/>
      <c r="AA24" s="3"/>
      <c r="AB24" s="3"/>
      <c r="AC24" s="3"/>
    </row>
    <row r="25" spans="1:29" ht="13" x14ac:dyDescent="0.15">
      <c r="A25" s="2">
        <f ca="1">IFERROR(__xludf.DUMMYFUNCTION("""COMPUTED_VALUE"""),45558.4506915277)</f>
        <v>45558.450691527702</v>
      </c>
      <c r="B25" s="3" t="str">
        <f ca="1">IFERROR(__xludf.DUMMYFUNCTION("""COMPUTED_VALUE"""),"ksmith8@normanps.org")</f>
        <v>ksmith8@normanps.org</v>
      </c>
      <c r="C25" s="3"/>
      <c r="D25" s="3"/>
      <c r="E25" s="3"/>
      <c r="F25" s="6"/>
      <c r="G25" s="3"/>
      <c r="H25" s="3"/>
      <c r="I25" s="3"/>
      <c r="J25" s="3"/>
      <c r="K25" s="3"/>
      <c r="L25" s="3"/>
      <c r="M25" s="3"/>
      <c r="N25" s="3"/>
      <c r="O25" s="3"/>
      <c r="P25" s="3" t="str">
        <f ca="1">IFERROR(__xludf.DUMMYFUNCTION("""COMPUTED_VALUE"""),"OU Libraries")</f>
        <v>OU Libraries</v>
      </c>
      <c r="Q25" s="3"/>
      <c r="R25" s="3" t="str">
        <f ca="1">IFERROR(__xludf.DUMMYFUNCTION("""COMPUTED_VALUE"""),"AP Research Field Trip")</f>
        <v>AP Research Field Trip</v>
      </c>
      <c r="S25" s="3"/>
      <c r="T25" s="3" t="str">
        <f ca="1">IFERROR(__xludf.DUMMYFUNCTION("""COMPUTED_VALUE"""),"Norman North")</f>
        <v>Norman North</v>
      </c>
      <c r="U25" s="3"/>
      <c r="V25" s="3"/>
      <c r="W25" s="3"/>
      <c r="X25" s="3"/>
      <c r="Y25" s="3"/>
      <c r="Z25" s="3"/>
      <c r="AA25" s="3"/>
      <c r="AB25" s="3"/>
      <c r="AC25" s="3"/>
    </row>
    <row r="26" spans="1:29" ht="13" x14ac:dyDescent="0.15">
      <c r="A26" s="2">
        <f ca="1">IFERROR(__xludf.DUMMYFUNCTION("""COMPUTED_VALUE"""),45558.4597532176)</f>
        <v>45558.459753217598</v>
      </c>
      <c r="B26" s="3" t="str">
        <f ca="1">IFERROR(__xludf.DUMMYFUNCTION("""COMPUTED_VALUE"""),"ksmith8@normanps.org")</f>
        <v>ksmith8@normanps.org</v>
      </c>
      <c r="C26" s="3"/>
      <c r="D26" s="3">
        <f ca="1">IFERROR(__xludf.DUMMYFUNCTION("""COMPUTED_VALUE"""),12)</f>
        <v>12</v>
      </c>
      <c r="E26" s="3"/>
      <c r="F26" s="6"/>
      <c r="G26" s="3"/>
      <c r="H26" s="3"/>
      <c r="I26" s="3" t="str">
        <f ca="1">IFERROR(__xludf.DUMMYFUNCTION("""COMPUTED_VALUE"""),"Collaborate")</f>
        <v>Collaborate</v>
      </c>
      <c r="J26" s="3"/>
      <c r="K26" s="3" t="str">
        <f ca="1">IFERROR(__xludf.DUMMYFUNCTION("""COMPUTED_VALUE"""),"Ninth")</f>
        <v>Ninth</v>
      </c>
      <c r="L26" s="3"/>
      <c r="M26" s="3"/>
      <c r="N26" s="3"/>
      <c r="O26" s="3"/>
      <c r="P26" s="3"/>
      <c r="Q26" s="3"/>
      <c r="R26" s="3"/>
      <c r="S26" s="3"/>
      <c r="T26" s="3" t="str">
        <f ca="1">IFERROR(__xludf.DUMMYFUNCTION("""COMPUTED_VALUE"""),"Norman North")</f>
        <v>Norman North</v>
      </c>
      <c r="U26" s="3"/>
      <c r="V26" s="3"/>
      <c r="W26" s="3"/>
      <c r="X26" s="3"/>
      <c r="Y26" s="3"/>
      <c r="Z26" s="3"/>
      <c r="AA26" s="3"/>
      <c r="AB26" s="3"/>
      <c r="AC26" s="3"/>
    </row>
    <row r="27" spans="1:29" ht="13" x14ac:dyDescent="0.15">
      <c r="A27" s="2">
        <f ca="1">IFERROR(__xludf.DUMMYFUNCTION("""COMPUTED_VALUE"""),45567.5296608101)</f>
        <v>45567.529660810098</v>
      </c>
      <c r="B27" s="3" t="str">
        <f ca="1">IFERROR(__xludf.DUMMYFUNCTION("""COMPUTED_VALUE"""),"ksmith8@normanps.org")</f>
        <v>ksmith8@normanps.org</v>
      </c>
      <c r="C27" s="3"/>
      <c r="D27" s="3">
        <f ca="1">IFERROR(__xludf.DUMMYFUNCTION("""COMPUTED_VALUE"""),3)</f>
        <v>3</v>
      </c>
      <c r="E27" s="3"/>
      <c r="F27" s="6"/>
      <c r="G27" s="3"/>
      <c r="H27" s="3"/>
      <c r="I27" s="3" t="str">
        <f ca="1">IFERROR(__xludf.DUMMYFUNCTION("""COMPUTED_VALUE"""),"Curate")</f>
        <v>Curate</v>
      </c>
      <c r="J27" s="3" t="str">
        <f ca="1">IFERROR(__xludf.DUMMYFUNCTION("""COMPUTED_VALUE"""),"Art")</f>
        <v>Art</v>
      </c>
      <c r="K27" s="3" t="str">
        <f ca="1">IFERROR(__xludf.DUMMYFUNCTION("""COMPUTED_VALUE"""),"HS multi-grade class")</f>
        <v>HS multi-grade class</v>
      </c>
      <c r="L27" s="3"/>
      <c r="M27" s="3"/>
      <c r="N27" s="3"/>
      <c r="O27" s="3"/>
      <c r="P27" s="3"/>
      <c r="Q27" s="3"/>
      <c r="R27" s="3"/>
      <c r="S27" s="3"/>
      <c r="T27" s="3" t="str">
        <f ca="1">IFERROR(__xludf.DUMMYFUNCTION("""COMPUTED_VALUE"""),"Norman North")</f>
        <v>Norman North</v>
      </c>
      <c r="U27" s="3"/>
      <c r="V27" s="3"/>
      <c r="W27" s="3"/>
      <c r="X27" s="3"/>
      <c r="Y27" s="3"/>
      <c r="Z27" s="3"/>
      <c r="AA27" s="3"/>
      <c r="AB27" s="3"/>
      <c r="AC27" s="3"/>
    </row>
    <row r="28" spans="1:29" ht="13" x14ac:dyDescent="0.15">
      <c r="A28" s="2">
        <f ca="1">IFERROR(__xludf.DUMMYFUNCTION("""COMPUTED_VALUE"""),45567.5300091435)</f>
        <v>45567.530009143498</v>
      </c>
      <c r="B28" s="3" t="str">
        <f ca="1">IFERROR(__xludf.DUMMYFUNCTION("""COMPUTED_VALUE"""),"ksmith8@normanps.org")</f>
        <v>ksmith8@normanps.org</v>
      </c>
      <c r="C28" s="3"/>
      <c r="D28" s="3">
        <f ca="1">IFERROR(__xludf.DUMMYFUNCTION("""COMPUTED_VALUE"""),1)</f>
        <v>1</v>
      </c>
      <c r="E28" s="3"/>
      <c r="F28" s="6"/>
      <c r="G28" s="3"/>
      <c r="H28" s="3"/>
      <c r="I28" s="3" t="str">
        <f ca="1">IFERROR(__xludf.DUMMYFUNCTION("""COMPUTED_VALUE"""),"Include")</f>
        <v>Include</v>
      </c>
      <c r="J28" s="3" t="str">
        <f ca="1">IFERROR(__xludf.DUMMYFUNCTION("""COMPUTED_VALUE"""),"Art")</f>
        <v>Art</v>
      </c>
      <c r="K28" s="3" t="str">
        <f ca="1">IFERROR(__xludf.DUMMYFUNCTION("""COMPUTED_VALUE"""),"HS multi-grade class")</f>
        <v>HS multi-grade class</v>
      </c>
      <c r="L28" s="3"/>
      <c r="M28" s="3"/>
      <c r="N28" s="3"/>
      <c r="O28" s="3"/>
      <c r="P28" s="3"/>
      <c r="Q28" s="3"/>
      <c r="R28" s="3"/>
      <c r="S28" s="3"/>
      <c r="T28" s="3" t="str">
        <f ca="1">IFERROR(__xludf.DUMMYFUNCTION("""COMPUTED_VALUE"""),"Norman North")</f>
        <v>Norman North</v>
      </c>
      <c r="U28" s="3"/>
      <c r="V28" s="3"/>
      <c r="W28" s="3"/>
      <c r="X28" s="3"/>
      <c r="Y28" s="3"/>
      <c r="Z28" s="3"/>
      <c r="AA28" s="3"/>
      <c r="AB28" s="3"/>
      <c r="AC28" s="3"/>
    </row>
    <row r="29" spans="1:29" ht="13" x14ac:dyDescent="0.15">
      <c r="A29" s="2">
        <f ca="1">IFERROR(__xludf.DUMMYFUNCTION("""COMPUTED_VALUE"""),45567.532299155)</f>
        <v>45567.532299154998</v>
      </c>
      <c r="B29" s="3" t="str">
        <f ca="1">IFERROR(__xludf.DUMMYFUNCTION("""COMPUTED_VALUE"""),"ksmith8@normanps.org")</f>
        <v>ksmith8@normanps.org</v>
      </c>
      <c r="C29" s="3"/>
      <c r="D29" s="3"/>
      <c r="E29" s="3"/>
      <c r="F29" s="6">
        <f ca="1">IFERROR(__xludf.DUMMYFUNCTION("""COMPUTED_VALUE"""),540)</f>
        <v>540</v>
      </c>
      <c r="G29" s="3">
        <f ca="1">IFERROR(__xludf.DUMMYFUNCTION("""COMPUTED_VALUE"""),16)</f>
        <v>16</v>
      </c>
      <c r="H29" s="3"/>
      <c r="I29" s="3"/>
      <c r="J29" s="3"/>
      <c r="K29" s="3"/>
      <c r="L29" s="3"/>
      <c r="M29" s="3">
        <f ca="1">IFERROR(__xludf.DUMMYFUNCTION("""COMPUTED_VALUE"""),64)</f>
        <v>64</v>
      </c>
      <c r="N29" s="3"/>
      <c r="O29" s="3"/>
      <c r="P29" s="3"/>
      <c r="Q29" s="3" t="str">
        <f ca="1">IFERROR(__xludf.DUMMYFUNCTION("""COMPUTED_VALUE"""),"NPS Prevention Lead Committee")</f>
        <v>NPS Prevention Lead Committee</v>
      </c>
      <c r="R29" s="3"/>
      <c r="S29" s="3"/>
      <c r="T29" s="3" t="str">
        <f ca="1">IFERROR(__xludf.DUMMYFUNCTION("""COMPUTED_VALUE"""),"Norman North")</f>
        <v>Norman North</v>
      </c>
      <c r="U29" s="3"/>
      <c r="V29" s="3"/>
      <c r="W29" s="3"/>
      <c r="X29" s="3"/>
      <c r="Y29" s="3"/>
      <c r="Z29" s="3"/>
      <c r="AA29" s="3"/>
      <c r="AB29" s="3"/>
      <c r="AC29" s="3"/>
    </row>
    <row r="30" spans="1:29" ht="13" x14ac:dyDescent="0.15">
      <c r="A30" s="2">
        <f ca="1">IFERROR(__xludf.DUMMYFUNCTION("""COMPUTED_VALUE"""),45567.5556729166)</f>
        <v>45567.555672916598</v>
      </c>
      <c r="B30" s="3" t="str">
        <f ca="1">IFERROR(__xludf.DUMMYFUNCTION("""COMPUTED_VALUE"""),"ksmith8@normanps.org")</f>
        <v>ksmith8@normanps.org</v>
      </c>
      <c r="C30" s="3"/>
      <c r="D30" s="3">
        <f ca="1">IFERROR(__xludf.DUMMYFUNCTION("""COMPUTED_VALUE"""),4)</f>
        <v>4</v>
      </c>
      <c r="E30" s="3"/>
      <c r="F30" s="6"/>
      <c r="G30" s="3"/>
      <c r="H30" s="3"/>
      <c r="I30" s="3" t="str">
        <f ca="1">IFERROR(__xludf.DUMMYFUNCTION("""COMPUTED_VALUE"""),"Collaborate")</f>
        <v>Collaborate</v>
      </c>
      <c r="J30" s="3"/>
      <c r="K30" s="3" t="str">
        <f ca="1">IFERROR(__xludf.DUMMYFUNCTION("""COMPUTED_VALUE"""),"Ninth")</f>
        <v>Ninth</v>
      </c>
      <c r="L30" s="3"/>
      <c r="M30" s="3"/>
      <c r="N30" s="3"/>
      <c r="O30" s="3"/>
      <c r="P30" s="3"/>
      <c r="Q30" s="3" t="str">
        <f ca="1">IFERROR(__xludf.DUMMYFUNCTION("""COMPUTED_VALUE"""),"OKSL Leadership Meeting as Past Chair")</f>
        <v>OKSL Leadership Meeting as Past Chair</v>
      </c>
      <c r="R30" s="3"/>
      <c r="S30" s="3"/>
      <c r="T30" s="3" t="str">
        <f ca="1">IFERROR(__xludf.DUMMYFUNCTION("""COMPUTED_VALUE"""),"Norman North")</f>
        <v>Norman North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13" x14ac:dyDescent="0.15">
      <c r="A31" s="2">
        <f ca="1">IFERROR(__xludf.DUMMYFUNCTION("""COMPUTED_VALUE"""),45567.5562675578)</f>
        <v>45567.556267557797</v>
      </c>
      <c r="B31" s="3" t="str">
        <f ca="1">IFERROR(__xludf.DUMMYFUNCTION("""COMPUTED_VALUE"""),"ksmith8@normanps.org")</f>
        <v>ksmith8@normanps.org</v>
      </c>
      <c r="C31" s="3"/>
      <c r="D31" s="3">
        <f ca="1">IFERROR(__xludf.DUMMYFUNCTION("""COMPUTED_VALUE"""),5)</f>
        <v>5</v>
      </c>
      <c r="E31" s="3"/>
      <c r="F31" s="6"/>
      <c r="G31" s="3"/>
      <c r="H31" s="3"/>
      <c r="I31" s="3" t="str">
        <f ca="1">IFERROR(__xludf.DUMMYFUNCTION("""COMPUTED_VALUE"""),"Inquire")</f>
        <v>Inquire</v>
      </c>
      <c r="J31" s="3" t="str">
        <f ca="1">IFERROR(__xludf.DUMMYFUNCTION("""COMPUTED_VALUE"""),"ELA")</f>
        <v>ELA</v>
      </c>
      <c r="K31" s="3" t="str">
        <f ca="1">IFERROR(__xludf.DUMMYFUNCTION("""COMPUTED_VALUE"""),"HS multi-grade class")</f>
        <v>HS multi-grade class</v>
      </c>
      <c r="L31" s="3"/>
      <c r="M31" s="3"/>
      <c r="N31" s="3"/>
      <c r="O31" s="3"/>
      <c r="P31" s="3"/>
      <c r="Q31" s="3" t="str">
        <f ca="1">IFERROR(__xludf.DUMMYFUNCTION("""COMPUTED_VALUE"""),"North Advisory Lead Meeting as 9th Grade Advisory Lead")</f>
        <v>North Advisory Lead Meeting as 9th Grade Advisory Lead</v>
      </c>
      <c r="R31" s="3"/>
      <c r="S31" s="3"/>
      <c r="T31" s="3" t="str">
        <f ca="1">IFERROR(__xludf.DUMMYFUNCTION("""COMPUTED_VALUE"""),"Norman North")</f>
        <v>Norman North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13" x14ac:dyDescent="0.15">
      <c r="A32" s="2">
        <f ca="1">IFERROR(__xludf.DUMMYFUNCTION("""COMPUTED_VALUE"""),45567.6124534027)</f>
        <v>45567.612453402697</v>
      </c>
      <c r="B32" s="3" t="str">
        <f ca="1">IFERROR(__xludf.DUMMYFUNCTION("""COMPUTED_VALUE"""),"ksmith8@normanps.org")</f>
        <v>ksmith8@normanps.org</v>
      </c>
      <c r="C32" s="3"/>
      <c r="D32" s="3">
        <f ca="1">IFERROR(__xludf.DUMMYFUNCTION("""COMPUTED_VALUE"""),5)</f>
        <v>5</v>
      </c>
      <c r="E32" s="3"/>
      <c r="F32" s="6"/>
      <c r="G32" s="3"/>
      <c r="H32" s="3"/>
      <c r="I32" s="3" t="str">
        <f ca="1">IFERROR(__xludf.DUMMYFUNCTION("""COMPUTED_VALUE"""),"Include")</f>
        <v>Include</v>
      </c>
      <c r="J32" s="3" t="str">
        <f ca="1">IFERROR(__xludf.DUMMYFUNCTION("""COMPUTED_VALUE"""),"Direct Instruction")</f>
        <v>Direct Instruction</v>
      </c>
      <c r="K32" s="3" t="str">
        <f ca="1">IFERROR(__xludf.DUMMYFUNCTION("""COMPUTED_VALUE"""),"Autism/SPED multi-level high school")</f>
        <v>Autism/SPED multi-level high school</v>
      </c>
      <c r="L32" s="3"/>
      <c r="M32" s="3"/>
      <c r="N32" s="3"/>
      <c r="O32" s="3"/>
      <c r="P32" s="3"/>
      <c r="Q32" s="3" t="str">
        <f ca="1">IFERROR(__xludf.DUMMYFUNCTION("""COMPUTED_VALUE"""),"North Academic Council as Library/Media/Department Chair")</f>
        <v>North Academic Council as Library/Media/Department Chair</v>
      </c>
      <c r="R32" s="3"/>
      <c r="S32" s="3"/>
      <c r="T32" s="3" t="str">
        <f ca="1">IFERROR(__xludf.DUMMYFUNCTION("""COMPUTED_VALUE"""),"Norman North")</f>
        <v>Norman North</v>
      </c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15">
      <c r="A33" s="2">
        <f ca="1">IFERROR(__xludf.DUMMYFUNCTION("""COMPUTED_VALUE"""),45567.6128509722)</f>
        <v>45567.612850972197</v>
      </c>
      <c r="B33" s="3" t="str">
        <f ca="1">IFERROR(__xludf.DUMMYFUNCTION("""COMPUTED_VALUE"""),"ksmith8@normanps.org")</f>
        <v>ksmith8@normanps.org</v>
      </c>
      <c r="C33" s="3"/>
      <c r="D33" s="3">
        <f ca="1">IFERROR(__xludf.DUMMYFUNCTION("""COMPUTED_VALUE"""),2)</f>
        <v>2</v>
      </c>
      <c r="E33" s="3"/>
      <c r="F33" s="6"/>
      <c r="G33" s="3"/>
      <c r="H33" s="3"/>
      <c r="I33" s="3" t="str">
        <f ca="1">IFERROR(__xludf.DUMMYFUNCTION("""COMPUTED_VALUE"""),"Collaborate")</f>
        <v>Collaborate</v>
      </c>
      <c r="J33" s="3" t="str">
        <f ca="1">IFERROR(__xludf.DUMMYFUNCTION("""COMPUTED_VALUE"""),"ELA")</f>
        <v>ELA</v>
      </c>
      <c r="K33" s="3" t="str">
        <f ca="1">IFERROR(__xludf.DUMMYFUNCTION("""COMPUTED_VALUE"""),"Twelfth")</f>
        <v>Twelfth</v>
      </c>
      <c r="L33" s="3"/>
      <c r="M33" s="3"/>
      <c r="N33" s="3"/>
      <c r="O33" s="3"/>
      <c r="P33" s="3"/>
      <c r="Q33" s="3" t="str">
        <f ca="1">IFERROR(__xludf.DUMMYFUNCTION("""COMPUTED_VALUE"""),"North Academic Council as Library/Media/Department Chair")</f>
        <v>North Academic Council as Library/Media/Department Chair</v>
      </c>
      <c r="R33" s="3"/>
      <c r="S33" s="3"/>
      <c r="T33" s="3" t="str">
        <f ca="1">IFERROR(__xludf.DUMMYFUNCTION("""COMPUTED_VALUE"""),"Norman North")</f>
        <v>Norman North</v>
      </c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15">
      <c r="A34" s="2">
        <f ca="1">IFERROR(__xludf.DUMMYFUNCTION("""COMPUTED_VALUE"""),45567.6137549189)</f>
        <v>45567.613754918901</v>
      </c>
      <c r="B34" s="3" t="str">
        <f ca="1">IFERROR(__xludf.DUMMYFUNCTION("""COMPUTED_VALUE"""),"ksmith8@normanps.org")</f>
        <v>ksmith8@normanps.org</v>
      </c>
      <c r="C34" s="3"/>
      <c r="D34" s="3">
        <f ca="1">IFERROR(__xludf.DUMMYFUNCTION("""COMPUTED_VALUE"""),1)</f>
        <v>1</v>
      </c>
      <c r="E34" s="3"/>
      <c r="F34" s="6"/>
      <c r="G34" s="3"/>
      <c r="H34" s="3"/>
      <c r="I34" s="3" t="str">
        <f ca="1">IFERROR(__xludf.DUMMYFUNCTION("""COMPUTED_VALUE"""),"Curate")</f>
        <v>Curate</v>
      </c>
      <c r="J34" s="3" t="str">
        <f ca="1">IFERROR(__xludf.DUMMYFUNCTION("""COMPUTED_VALUE"""),"Art")</f>
        <v>Art</v>
      </c>
      <c r="K34" s="3" t="str">
        <f ca="1">IFERROR(__xludf.DUMMYFUNCTION("""COMPUTED_VALUE"""),"HS multi-grade class")</f>
        <v>HS multi-grade class</v>
      </c>
      <c r="L34" s="3"/>
      <c r="M34" s="3"/>
      <c r="N34" s="3"/>
      <c r="O34" s="3"/>
      <c r="P34" s="3"/>
      <c r="Q34" s="3" t="str">
        <f ca="1">IFERROR(__xludf.DUMMYFUNCTION("""COMPUTED_VALUE"""),"North New Teacher Meetings as North New Teacher Liaison")</f>
        <v>North New Teacher Meetings as North New Teacher Liaison</v>
      </c>
      <c r="R34" s="3"/>
      <c r="S34" s="3"/>
      <c r="T34" s="3" t="str">
        <f ca="1">IFERROR(__xludf.DUMMYFUNCTION("""COMPUTED_VALUE"""),"Norman North")</f>
        <v>Norman North</v>
      </c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15">
      <c r="A35" s="2">
        <f ca="1">IFERROR(__xludf.DUMMYFUNCTION("""COMPUTED_VALUE"""),45567.6145540509)</f>
        <v>45567.614554050902</v>
      </c>
      <c r="B35" s="3" t="str">
        <f ca="1">IFERROR(__xludf.DUMMYFUNCTION("""COMPUTED_VALUE"""),"ksmith8@normanps.org")</f>
        <v>ksmith8@normanps.org</v>
      </c>
      <c r="C35" s="3"/>
      <c r="D35" s="3">
        <f ca="1">IFERROR(__xludf.DUMMYFUNCTION("""COMPUTED_VALUE"""),1)</f>
        <v>1</v>
      </c>
      <c r="E35" s="3"/>
      <c r="F35" s="6"/>
      <c r="G35" s="3"/>
      <c r="H35" s="3"/>
      <c r="I35" s="3" t="str">
        <f ca="1">IFERROR(__xludf.DUMMYFUNCTION("""COMPUTED_VALUE"""),"Engage")</f>
        <v>Engage</v>
      </c>
      <c r="J35" s="3" t="str">
        <f ca="1">IFERROR(__xludf.DUMMYFUNCTION("""COMPUTED_VALUE"""),"ELA")</f>
        <v>ELA</v>
      </c>
      <c r="K35" s="3" t="str">
        <f ca="1">IFERROR(__xludf.DUMMYFUNCTION("""COMPUTED_VALUE"""),"HS multi-grade class")</f>
        <v>HS multi-grade class</v>
      </c>
      <c r="L35" s="3"/>
      <c r="M35" s="3"/>
      <c r="N35" s="3"/>
      <c r="O35" s="3"/>
      <c r="P35" s="3"/>
      <c r="Q35" s="3" t="str">
        <f ca="1">IFERROR(__xludf.DUMMYFUNCTION("""COMPUTED_VALUE"""),"North New Teacher Meetings as North New Teacher Liaison")</f>
        <v>North New Teacher Meetings as North New Teacher Liaison</v>
      </c>
      <c r="R35" s="3"/>
      <c r="S35" s="3"/>
      <c r="T35" s="3" t="str">
        <f ca="1">IFERROR(__xludf.DUMMYFUNCTION("""COMPUTED_VALUE"""),"Norman North")</f>
        <v>Norman North</v>
      </c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15">
      <c r="A36" s="2">
        <f ca="1">IFERROR(__xludf.DUMMYFUNCTION("""COMPUTED_VALUE"""),45567.6152593981)</f>
        <v>45567.615259398102</v>
      </c>
      <c r="B36" s="3" t="str">
        <f ca="1">IFERROR(__xludf.DUMMYFUNCTION("""COMPUTED_VALUE"""),"ksmith8@normanps.org")</f>
        <v>ksmith8@normanps.org</v>
      </c>
      <c r="C36" s="3"/>
      <c r="D36" s="3">
        <f ca="1">IFERROR(__xludf.DUMMYFUNCTION("""COMPUTED_VALUE"""),4)</f>
        <v>4</v>
      </c>
      <c r="E36" s="3"/>
      <c r="F36" s="6"/>
      <c r="G36" s="3"/>
      <c r="H36" s="3"/>
      <c r="I36" s="3" t="str">
        <f ca="1">IFERROR(__xludf.DUMMYFUNCTION("""COMPUTED_VALUE"""),"Collaborate")</f>
        <v>Collaborate</v>
      </c>
      <c r="J36" s="3" t="str">
        <f ca="1">IFERROR(__xludf.DUMMYFUNCTION("""COMPUTED_VALUE"""),"ELA")</f>
        <v>ELA</v>
      </c>
      <c r="K36" s="3" t="str">
        <f ca="1">IFERROR(__xludf.DUMMYFUNCTION("""COMPUTED_VALUE"""),"Tenth")</f>
        <v>Tenth</v>
      </c>
      <c r="L36" s="3"/>
      <c r="M36" s="3"/>
      <c r="N36" s="3"/>
      <c r="O36" s="3"/>
      <c r="P36" s="3" t="str">
        <f ca="1">IFERROR(__xludf.DUMMYFUNCTION("""COMPUTED_VALUE"""),"OU SLIS")</f>
        <v>OU SLIS</v>
      </c>
      <c r="Q36" s="3"/>
      <c r="R36" s="3" t="str">
        <f ca="1">IFERROR(__xludf.DUMMYFUNCTION("""COMPUTED_VALUE"""),"Guest Lecture")</f>
        <v>Guest Lecture</v>
      </c>
      <c r="S36" s="3"/>
      <c r="T36" s="3" t="str">
        <f ca="1">IFERROR(__xludf.DUMMYFUNCTION("""COMPUTED_VALUE"""),"Norman North")</f>
        <v>Norman North</v>
      </c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15">
      <c r="A37" s="2">
        <f ca="1">IFERROR(__xludf.DUMMYFUNCTION("""COMPUTED_VALUE"""),45567.6160046296)</f>
        <v>45567.616004629599</v>
      </c>
      <c r="B37" s="3" t="str">
        <f ca="1">IFERROR(__xludf.DUMMYFUNCTION("""COMPUTED_VALUE"""),"ksmith8@normanps.org")</f>
        <v>ksmith8@normanps.org</v>
      </c>
      <c r="C37" s="3"/>
      <c r="D37" s="3">
        <f ca="1">IFERROR(__xludf.DUMMYFUNCTION("""COMPUTED_VALUE"""),2)</f>
        <v>2</v>
      </c>
      <c r="E37" s="3"/>
      <c r="F37" s="6"/>
      <c r="G37" s="3"/>
      <c r="H37" s="3"/>
      <c r="I37" s="3" t="str">
        <f ca="1">IFERROR(__xludf.DUMMYFUNCTION("""COMPUTED_VALUE"""),"Include")</f>
        <v>Include</v>
      </c>
      <c r="J37" s="3" t="str">
        <f ca="1">IFERROR(__xludf.DUMMYFUNCTION("""COMPUTED_VALUE"""),"ELA")</f>
        <v>ELA</v>
      </c>
      <c r="K37" s="3" t="str">
        <f ca="1">IFERROR(__xludf.DUMMYFUNCTION("""COMPUTED_VALUE"""),"HS multi-grade class")</f>
        <v>HS multi-grade class</v>
      </c>
      <c r="L37" s="3"/>
      <c r="M37" s="3"/>
      <c r="N37" s="3"/>
      <c r="O37" s="3"/>
      <c r="P37" s="3" t="str">
        <f ca="1">IFERROR(__xludf.DUMMYFUNCTION("""COMPUTED_VALUE"""),"UCO Library/Media")</f>
        <v>UCO Library/Media</v>
      </c>
      <c r="Q37" s="3"/>
      <c r="R37" s="3" t="str">
        <f ca="1">IFERROR(__xludf.DUMMYFUNCTION("""COMPUTED_VALUE"""),"Guest Lecture")</f>
        <v>Guest Lecture</v>
      </c>
      <c r="S37" s="3"/>
      <c r="T37" s="3" t="str">
        <f ca="1">IFERROR(__xludf.DUMMYFUNCTION("""COMPUTED_VALUE"""),"Norman North")</f>
        <v>Norman North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15">
      <c r="A38" s="2">
        <f ca="1">IFERROR(__xludf.DUMMYFUNCTION("""COMPUTED_VALUE"""),45567.6170597685)</f>
        <v>45567.617059768498</v>
      </c>
      <c r="B38" s="3" t="str">
        <f ca="1">IFERROR(__xludf.DUMMYFUNCTION("""COMPUTED_VALUE"""),"ksmith8@normanps.org")</f>
        <v>ksmith8@normanps.org</v>
      </c>
      <c r="C38" s="3"/>
      <c r="D38" s="3">
        <f ca="1">IFERROR(__xludf.DUMMYFUNCTION("""COMPUTED_VALUE"""),3)</f>
        <v>3</v>
      </c>
      <c r="E38" s="3"/>
      <c r="F38" s="6"/>
      <c r="G38" s="3"/>
      <c r="H38" s="3"/>
      <c r="I38" s="3" t="str">
        <f ca="1">IFERROR(__xludf.DUMMYFUNCTION("""COMPUTED_VALUE"""),"Curate")</f>
        <v>Curate</v>
      </c>
      <c r="J38" s="3" t="str">
        <f ca="1">IFERROR(__xludf.DUMMYFUNCTION("""COMPUTED_VALUE"""),"Art")</f>
        <v>Art</v>
      </c>
      <c r="K38" s="3" t="str">
        <f ca="1">IFERROR(__xludf.DUMMYFUNCTION("""COMPUTED_VALUE"""),"HS multi-grade class")</f>
        <v>HS multi-grade class</v>
      </c>
      <c r="L38" s="3"/>
      <c r="M38" s="3"/>
      <c r="N38" s="3"/>
      <c r="O38" s="3"/>
      <c r="P38" s="3" t="str">
        <f ca="1">IFERROR(__xludf.DUMMYFUNCTION("""COMPUTED_VALUE"""),"OU Libraries")</f>
        <v>OU Libraries</v>
      </c>
      <c r="Q38" s="3"/>
      <c r="R38" s="3" t="str">
        <f ca="1">IFERROR(__xludf.DUMMYFUNCTION("""COMPUTED_VALUE"""),"AP Seminar Field Trip")</f>
        <v>AP Seminar Field Trip</v>
      </c>
      <c r="S38" s="3"/>
      <c r="T38" s="3" t="str">
        <f ca="1">IFERROR(__xludf.DUMMYFUNCTION("""COMPUTED_VALUE"""),"Norman North")</f>
        <v>Norman North</v>
      </c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15">
      <c r="A39" s="2">
        <f ca="1">IFERROR(__xludf.DUMMYFUNCTION("""COMPUTED_VALUE"""),45567.6194946412)</f>
        <v>45567.6194946412</v>
      </c>
      <c r="B39" s="3" t="str">
        <f ca="1">IFERROR(__xludf.DUMMYFUNCTION("""COMPUTED_VALUE"""),"ksmith8@normanps.org")</f>
        <v>ksmith8@normanps.org</v>
      </c>
      <c r="C39" s="3"/>
      <c r="D39" s="3">
        <f ca="1">IFERROR(__xludf.DUMMYFUNCTION("""COMPUTED_VALUE"""),12)</f>
        <v>12</v>
      </c>
      <c r="E39" s="3"/>
      <c r="F39" s="6"/>
      <c r="G39" s="3"/>
      <c r="H39" s="3"/>
      <c r="I39" s="3" t="str">
        <f ca="1">IFERROR(__xludf.DUMMYFUNCTION("""COMPUTED_VALUE"""),"Explore")</f>
        <v>Explore</v>
      </c>
      <c r="J39" s="3" t="str">
        <f ca="1">IFERROR(__xludf.DUMMYFUNCTION("""COMPUTED_VALUE"""),"ELA")</f>
        <v>ELA</v>
      </c>
      <c r="K39" s="3" t="str">
        <f ca="1">IFERROR(__xludf.DUMMYFUNCTION("""COMPUTED_VALUE"""),"Eleventh")</f>
        <v>Eleventh</v>
      </c>
      <c r="L39" s="3"/>
      <c r="M39" s="3"/>
      <c r="N39" s="3"/>
      <c r="O39" s="3"/>
      <c r="P39" s="3" t="str">
        <f ca="1">IFERROR(__xludf.DUMMYFUNCTION("""COMPUTED_VALUE"""),"Pioneer Library System Norman Public Library West")</f>
        <v>Pioneer Library System Norman Public Library West</v>
      </c>
      <c r="Q39" s="3"/>
      <c r="R39" s="3" t="str">
        <f ca="1">IFERROR(__xludf.DUMMYFUNCTION("""COMPUTED_VALUE"""),"Makerspace Open Hours Visits")</f>
        <v>Makerspace Open Hours Visits</v>
      </c>
      <c r="S39" s="3"/>
      <c r="T39" s="3" t="str">
        <f ca="1">IFERROR(__xludf.DUMMYFUNCTION("""COMPUTED_VALUE"""),"Norman North")</f>
        <v>Norman North</v>
      </c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15">
      <c r="A40" s="2">
        <f ca="1">IFERROR(__xludf.DUMMYFUNCTION("""COMPUTED_VALUE"""),45567.620889618)</f>
        <v>45567.620889618003</v>
      </c>
      <c r="B40" s="3" t="str">
        <f ca="1">IFERROR(__xludf.DUMMYFUNCTION("""COMPUTED_VALUE"""),"ksmith8@normanps.org")</f>
        <v>ksmith8@normanps.org</v>
      </c>
      <c r="C40" s="3"/>
      <c r="D40" s="3">
        <f ca="1">IFERROR(__xludf.DUMMYFUNCTION("""COMPUTED_VALUE"""),2)</f>
        <v>2</v>
      </c>
      <c r="E40" s="3"/>
      <c r="F40" s="6"/>
      <c r="G40" s="3"/>
      <c r="H40" s="3"/>
      <c r="I40" s="3" t="str">
        <f ca="1">IFERROR(__xludf.DUMMYFUNCTION("""COMPUTED_VALUE"""),"Engage")</f>
        <v>Engage</v>
      </c>
      <c r="J40" s="3" t="str">
        <f ca="1">IFERROR(__xludf.DUMMYFUNCTION("""COMPUTED_VALUE"""),"Social Studies")</f>
        <v>Social Studies</v>
      </c>
      <c r="K40" s="3" t="str">
        <f ca="1">IFERROR(__xludf.DUMMYFUNCTION("""COMPUTED_VALUE"""),"Twelfth")</f>
        <v>Twelfth</v>
      </c>
      <c r="L40" s="3"/>
      <c r="M40" s="3"/>
      <c r="N40" s="3"/>
      <c r="O40" s="3"/>
      <c r="P40" s="3" t="str">
        <f ca="1">IFERROR(__xludf.DUMMYFUNCTION("""COMPUTED_VALUE"""),"Pioneer Library System Norman Public Library West")</f>
        <v>Pioneer Library System Norman Public Library West</v>
      </c>
      <c r="Q40" s="3"/>
      <c r="R40" s="3" t="str">
        <f ca="1">IFERROR(__xludf.DUMMYFUNCTION("""COMPUTED_VALUE"""),"Makerspace Open Hours Visits")</f>
        <v>Makerspace Open Hours Visits</v>
      </c>
      <c r="S40" s="3"/>
      <c r="T40" s="3" t="str">
        <f ca="1">IFERROR(__xludf.DUMMYFUNCTION("""COMPUTED_VALUE"""),"Norman North")</f>
        <v>Norman North</v>
      </c>
      <c r="U40" s="3"/>
      <c r="V40" s="3"/>
      <c r="W40" s="3"/>
      <c r="X40" s="3"/>
      <c r="Y40" s="3"/>
      <c r="Z40" s="3"/>
      <c r="AA40" s="3"/>
      <c r="AB40" s="3"/>
      <c r="AC40" s="3"/>
    </row>
    <row r="41" spans="1:29" ht="13" x14ac:dyDescent="0.15">
      <c r="A41" s="2">
        <f ca="1">IFERROR(__xludf.DUMMYFUNCTION("""COMPUTED_VALUE"""),45567.6220602083)</f>
        <v>45567.622060208298</v>
      </c>
      <c r="B41" s="3" t="str">
        <f ca="1">IFERROR(__xludf.DUMMYFUNCTION("""COMPUTED_VALUE"""),"ksmith8@normanps.org")</f>
        <v>ksmith8@normanps.org</v>
      </c>
      <c r="C41" s="3"/>
      <c r="D41" s="3">
        <f ca="1">IFERROR(__xludf.DUMMYFUNCTION("""COMPUTED_VALUE"""),3)</f>
        <v>3</v>
      </c>
      <c r="E41" s="3"/>
      <c r="F41" s="6"/>
      <c r="G41" s="3"/>
      <c r="H41" s="3"/>
      <c r="I41" s="3" t="str">
        <f ca="1">IFERROR(__xludf.DUMMYFUNCTION("""COMPUTED_VALUE"""),"Include")</f>
        <v>Include</v>
      </c>
      <c r="J41" s="3" t="str">
        <f ca="1">IFERROR(__xludf.DUMMYFUNCTION("""COMPUTED_VALUE"""),"ELA")</f>
        <v>ELA</v>
      </c>
      <c r="K41" s="3" t="str">
        <f ca="1">IFERROR(__xludf.DUMMYFUNCTION("""COMPUTED_VALUE"""),"Eleventh")</f>
        <v>Eleventh</v>
      </c>
      <c r="L41" s="3"/>
      <c r="M41" s="3"/>
      <c r="N41" s="3"/>
      <c r="O41" s="3"/>
      <c r="P41" s="3" t="str">
        <f ca="1">IFERROR(__xludf.DUMMYFUNCTION("""COMPUTED_VALUE"""),"League of Women Voters")</f>
        <v>League of Women Voters</v>
      </c>
      <c r="Q41" s="3"/>
      <c r="R41" s="3" t="str">
        <f ca="1">IFERROR(__xludf.DUMMYFUNCTION("""COMPUTED_VALUE"""),"Voter Registration Drive")</f>
        <v>Voter Registration Drive</v>
      </c>
      <c r="S41" s="3"/>
      <c r="T41" s="3" t="str">
        <f ca="1">IFERROR(__xludf.DUMMYFUNCTION("""COMPUTED_VALUE"""),"Norman North")</f>
        <v>Norman North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3" x14ac:dyDescent="0.15">
      <c r="A42" s="2">
        <f ca="1">IFERROR(__xludf.DUMMYFUNCTION("""COMPUTED_VALUE"""),45567.6230097685)</f>
        <v>45567.623009768497</v>
      </c>
      <c r="B42" s="3" t="str">
        <f ca="1">IFERROR(__xludf.DUMMYFUNCTION("""COMPUTED_VALUE"""),"ksmith8@normanps.org")</f>
        <v>ksmith8@normanps.org</v>
      </c>
      <c r="C42" s="3"/>
      <c r="D42" s="3"/>
      <c r="E42" s="3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 t="str">
        <f ca="1">IFERROR(__xludf.DUMMYFUNCTION("""COMPUTED_VALUE"""),"Fine Arts Friday")</f>
        <v>Fine Arts Friday</v>
      </c>
      <c r="S42" s="3"/>
      <c r="T42" s="3" t="str">
        <f ca="1">IFERROR(__xludf.DUMMYFUNCTION("""COMPUTED_VALUE"""),"Norman North")</f>
        <v>Norman North</v>
      </c>
      <c r="U42" s="3"/>
      <c r="V42" s="3"/>
      <c r="W42" s="3"/>
      <c r="X42" s="3"/>
      <c r="Y42" s="3"/>
      <c r="Z42" s="3"/>
      <c r="AA42" s="3"/>
      <c r="AB42" s="3"/>
      <c r="AC42" s="3"/>
    </row>
    <row r="43" spans="1:29" ht="13" x14ac:dyDescent="0.15">
      <c r="A43" s="2">
        <f ca="1">IFERROR(__xludf.DUMMYFUNCTION("""COMPUTED_VALUE"""),45567.6239846527)</f>
        <v>45567.623984652702</v>
      </c>
      <c r="B43" s="3" t="str">
        <f ca="1">IFERROR(__xludf.DUMMYFUNCTION("""COMPUTED_VALUE"""),"ksmith8@normanps.org")</f>
        <v>ksmith8@normanps.org</v>
      </c>
      <c r="C43" s="3"/>
      <c r="D43" s="3"/>
      <c r="E43" s="3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 t="str">
        <f ca="1">IFERROR(__xludf.DUMMYFUNCTION("""COMPUTED_VALUE"""),"Faculty/Staff Book Club")</f>
        <v>Faculty/Staff Book Club</v>
      </c>
      <c r="S43" s="3"/>
      <c r="T43" s="3" t="str">
        <f ca="1">IFERROR(__xludf.DUMMYFUNCTION("""COMPUTED_VALUE"""),"Norman North")</f>
        <v>Norman North</v>
      </c>
      <c r="U43" s="3"/>
      <c r="V43" s="3"/>
      <c r="W43" s="3"/>
      <c r="X43" s="3"/>
      <c r="Y43" s="3"/>
      <c r="Z43" s="3"/>
      <c r="AA43" s="3"/>
      <c r="AB43" s="3"/>
      <c r="AC43" s="3"/>
    </row>
    <row r="44" spans="1:29" ht="13" x14ac:dyDescent="0.15">
      <c r="A44" s="2">
        <f ca="1">IFERROR(__xludf.DUMMYFUNCTION("""COMPUTED_VALUE"""),45567.6242709027)</f>
        <v>45567.624270902699</v>
      </c>
      <c r="B44" s="3" t="str">
        <f ca="1">IFERROR(__xludf.DUMMYFUNCTION("""COMPUTED_VALUE"""),"ksmith8@normanps.org")</f>
        <v>ksmith8@normanps.org</v>
      </c>
      <c r="C44" s="3"/>
      <c r="D44" s="3"/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 t="str">
        <f ca="1">IFERROR(__xludf.DUMMYFUNCTION("""COMPUTED_VALUE"""),"NNHS Community Breakfast")</f>
        <v>NNHS Community Breakfast</v>
      </c>
      <c r="S44" s="3"/>
      <c r="T44" s="3" t="str">
        <f ca="1">IFERROR(__xludf.DUMMYFUNCTION("""COMPUTED_VALUE"""),"Norman North")</f>
        <v>Norman North</v>
      </c>
      <c r="U44" s="3"/>
      <c r="V44" s="3"/>
      <c r="W44" s="3"/>
      <c r="X44" s="3"/>
      <c r="Y44" s="3"/>
      <c r="Z44" s="3"/>
      <c r="AA44" s="3"/>
      <c r="AB44" s="3"/>
      <c r="AC44" s="3"/>
    </row>
    <row r="45" spans="1:29" ht="13" x14ac:dyDescent="0.15">
      <c r="A45" s="2">
        <f ca="1">IFERROR(__xludf.DUMMYFUNCTION("""COMPUTED_VALUE"""),45567.6245499768)</f>
        <v>45567.624549976797</v>
      </c>
      <c r="B45" s="3" t="str">
        <f ca="1">IFERROR(__xludf.DUMMYFUNCTION("""COMPUTED_VALUE"""),"ksmith8@normanps.org")</f>
        <v>ksmith8@normanps.org</v>
      </c>
      <c r="C45" s="3"/>
      <c r="D45" s="3"/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tr">
        <f ca="1">IFERROR(__xludf.DUMMYFUNCTION("""COMPUTED_VALUE"""),"NPS Foundation Community Tour")</f>
        <v>NPS Foundation Community Tour</v>
      </c>
      <c r="S45" s="3"/>
      <c r="T45" s="3" t="str">
        <f ca="1">IFERROR(__xludf.DUMMYFUNCTION("""COMPUTED_VALUE"""),"Norman North")</f>
        <v>Norman North</v>
      </c>
      <c r="U45" s="3"/>
      <c r="V45" s="3"/>
      <c r="W45" s="3"/>
      <c r="X45" s="3"/>
      <c r="Y45" s="3"/>
      <c r="Z45" s="3"/>
      <c r="AA45" s="3"/>
      <c r="AB45" s="3"/>
      <c r="AC45" s="3"/>
    </row>
    <row r="46" spans="1:29" ht="13" x14ac:dyDescent="0.15">
      <c r="A46" s="2">
        <f ca="1">IFERROR(__xludf.DUMMYFUNCTION("""COMPUTED_VALUE"""),45567.6258797916)</f>
        <v>45567.625879791602</v>
      </c>
      <c r="B46" s="3" t="str">
        <f ca="1">IFERROR(__xludf.DUMMYFUNCTION("""COMPUTED_VALUE"""),"ksmith8@normanps.org")</f>
        <v>ksmith8@normanps.org</v>
      </c>
      <c r="C46" s="3"/>
      <c r="D46" s="3"/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tr">
        <f ca="1">IFERROR(__xludf.DUMMYFUNCTION("""COMPUTED_VALUE"""),"Breaking Down the Walls")</f>
        <v>Breaking Down the Walls</v>
      </c>
      <c r="S46" s="3"/>
      <c r="T46" s="3" t="str">
        <f ca="1">IFERROR(__xludf.DUMMYFUNCTION("""COMPUTED_VALUE"""),"Norman North")</f>
        <v>Norman North</v>
      </c>
      <c r="U46" s="3"/>
      <c r="V46" s="3"/>
      <c r="W46" s="3"/>
      <c r="X46" s="3"/>
      <c r="Y46" s="3"/>
      <c r="Z46" s="3"/>
      <c r="AA46" s="3"/>
      <c r="AB46" s="3"/>
      <c r="AC46" s="3"/>
    </row>
    <row r="47" spans="1:29" ht="13" x14ac:dyDescent="0.15">
      <c r="A47" s="2">
        <f ca="1">IFERROR(__xludf.DUMMYFUNCTION("""COMPUTED_VALUE"""),45573.422392581)</f>
        <v>45573.422392581</v>
      </c>
      <c r="B47" s="3" t="str">
        <f ca="1">IFERROR(__xludf.DUMMYFUNCTION("""COMPUTED_VALUE"""),"sschrank@normanps.org")</f>
        <v>sschrank@normanps.org</v>
      </c>
      <c r="C47" s="3">
        <f ca="1">IFERROR(__xludf.DUMMYFUNCTION("""COMPUTED_VALUE"""),646)</f>
        <v>646</v>
      </c>
      <c r="D47" s="3"/>
      <c r="E47" s="3"/>
      <c r="F47" s="6"/>
      <c r="G47" s="3"/>
      <c r="H47" s="3"/>
      <c r="I47" s="3"/>
      <c r="J47" s="3"/>
      <c r="K47" s="3"/>
      <c r="L47" s="3"/>
      <c r="M47" s="3"/>
      <c r="N47" s="3">
        <f ca="1">IFERROR(__xludf.DUMMYFUNCTION("""COMPUTED_VALUE"""),163)</f>
        <v>163</v>
      </c>
      <c r="O47" s="3"/>
      <c r="P47" s="3"/>
      <c r="Q47" s="3"/>
      <c r="R47" s="3"/>
      <c r="S47" s="3"/>
      <c r="T47" s="3" t="str">
        <f ca="1">IFERROR(__xludf.DUMMYFUNCTION("""COMPUTED_VALUE"""),"Norman North")</f>
        <v>Norman North</v>
      </c>
      <c r="U47" s="3"/>
      <c r="V47" s="3"/>
      <c r="W47" s="3"/>
      <c r="X47" s="3"/>
      <c r="Y47" s="3"/>
      <c r="Z47" s="3"/>
      <c r="AA47" s="3"/>
      <c r="AB47" s="3"/>
      <c r="AC47" s="3"/>
    </row>
    <row r="48" spans="1:29" ht="13" x14ac:dyDescent="0.15">
      <c r="A48" s="2">
        <f ca="1">IFERROR(__xludf.DUMMYFUNCTION("""COMPUTED_VALUE"""),45573.4521343287)</f>
        <v>45573.452134328698</v>
      </c>
      <c r="B48" s="3" t="str">
        <f ca="1">IFERROR(__xludf.DUMMYFUNCTION("""COMPUTED_VALUE"""),"ksmith8@normanps.org")</f>
        <v>ksmith8@normanps.org</v>
      </c>
      <c r="C48" s="3"/>
      <c r="D48" s="3">
        <f ca="1">IFERROR(__xludf.DUMMYFUNCTION("""COMPUTED_VALUE"""),1)</f>
        <v>1</v>
      </c>
      <c r="E48" s="3"/>
      <c r="F48" s="6"/>
      <c r="G48" s="3"/>
      <c r="H48" s="3"/>
      <c r="I48" s="3" t="str">
        <f ca="1">IFERROR(__xludf.DUMMYFUNCTION("""COMPUTED_VALUE"""),"Include")</f>
        <v>Include</v>
      </c>
      <c r="J48" s="3" t="str">
        <f ca="1">IFERROR(__xludf.DUMMYFUNCTION("""COMPUTED_VALUE"""),"Direct Instruction")</f>
        <v>Direct Instruction</v>
      </c>
      <c r="K48" s="3" t="str">
        <f ca="1">IFERROR(__xludf.DUMMYFUNCTION("""COMPUTED_VALUE"""),"Autism/SPED multi-level high school")</f>
        <v>Autism/SPED multi-level high school</v>
      </c>
      <c r="L48" s="3"/>
      <c r="M48" s="3"/>
      <c r="N48" s="3"/>
      <c r="O48" s="3"/>
      <c r="P48" s="3"/>
      <c r="Q48" s="3"/>
      <c r="R48" s="3"/>
      <c r="S48" s="3"/>
      <c r="T48" s="3" t="str">
        <f ca="1">IFERROR(__xludf.DUMMYFUNCTION("""COMPUTED_VALUE"""),"Norman North")</f>
        <v>Norman North</v>
      </c>
      <c r="U48" s="3"/>
      <c r="V48" s="3"/>
      <c r="W48" s="3"/>
      <c r="X48" s="3"/>
      <c r="Y48" s="3"/>
      <c r="Z48" s="3"/>
      <c r="AA48" s="3"/>
      <c r="AB48" s="3"/>
      <c r="AC48" s="3"/>
    </row>
    <row r="49" spans="1:29" ht="13" x14ac:dyDescent="0.15">
      <c r="A49" s="2">
        <f ca="1">IFERROR(__xludf.DUMMYFUNCTION("""COMPUTED_VALUE"""),45573.6097357986)</f>
        <v>45573.6097357986</v>
      </c>
      <c r="B49" s="3" t="str">
        <f ca="1">IFERROR(__xludf.DUMMYFUNCTION("""COMPUTED_VALUE"""),"sschrank@normanps.org")</f>
        <v>sschrank@normanps.org</v>
      </c>
      <c r="C49" s="3"/>
      <c r="D49" s="3"/>
      <c r="E49" s="3"/>
      <c r="F49" s="6"/>
      <c r="G49" s="3"/>
      <c r="H49" s="3"/>
      <c r="I49" s="3"/>
      <c r="J49" s="3"/>
      <c r="K49" s="3"/>
      <c r="L49" s="3"/>
      <c r="M49" s="3"/>
      <c r="N49" s="3"/>
      <c r="O49" s="3">
        <f ca="1">IFERROR(__xludf.DUMMYFUNCTION("""COMPUTED_VALUE"""),-14913)</f>
        <v>-14913</v>
      </c>
      <c r="P49" s="3"/>
      <c r="Q49" s="3"/>
      <c r="R49" s="3"/>
      <c r="S49" s="3"/>
      <c r="T49" s="3" t="str">
        <f ca="1">IFERROR(__xludf.DUMMYFUNCTION("""COMPUTED_VALUE"""),"Norman North")</f>
        <v>Norman North</v>
      </c>
      <c r="U49" s="3"/>
      <c r="V49" s="3"/>
      <c r="W49" s="3"/>
      <c r="X49" s="3"/>
      <c r="Y49" s="3"/>
      <c r="Z49" s="3"/>
      <c r="AA49" s="3"/>
      <c r="AB49" s="3"/>
      <c r="AC49" s="3"/>
    </row>
    <row r="50" spans="1:29" ht="13" x14ac:dyDescent="0.15">
      <c r="A50" s="2">
        <f ca="1">IFERROR(__xludf.DUMMYFUNCTION("""COMPUTED_VALUE"""),45580.5158959259)</f>
        <v>45580.515895925899</v>
      </c>
      <c r="B50" s="3" t="str">
        <f ca="1">IFERROR(__xludf.DUMMYFUNCTION("""COMPUTED_VALUE"""),"ksmith8@normanps.org")</f>
        <v>ksmith8@normanps.org</v>
      </c>
      <c r="C50" s="3"/>
      <c r="D50" s="3"/>
      <c r="E50" s="3"/>
      <c r="F50" s="6">
        <f ca="1">IFERROR(__xludf.DUMMYFUNCTION("""COMPUTED_VALUE"""),1370)</f>
        <v>1370</v>
      </c>
      <c r="G50" s="3">
        <f ca="1">IFERROR(__xludf.DUMMYFUNCTION("""COMPUTED_VALUE"""),8)</f>
        <v>8</v>
      </c>
      <c r="H50" s="3"/>
      <c r="I50" s="3"/>
      <c r="J50" s="3"/>
      <c r="K50" s="3"/>
      <c r="L50" s="3"/>
      <c r="M50" s="3"/>
      <c r="N50" s="3"/>
      <c r="O50" s="3"/>
      <c r="P50" s="3" t="str">
        <f ca="1">IFERROR(__xludf.DUMMYFUNCTION("""COMPUTED_VALUE"""),"Pioneer Library System Norman Public Library West")</f>
        <v>Pioneer Library System Norman Public Library West</v>
      </c>
      <c r="Q50" s="3" t="str">
        <f ca="1">IFERROR(__xludf.DUMMYFUNCTION("""COMPUTED_VALUE"""),"OKSL Leadership Meeting as Past Chair")</f>
        <v>OKSL Leadership Meeting as Past Chair</v>
      </c>
      <c r="R50" s="3" t="str">
        <f ca="1">IFERROR(__xludf.DUMMYFUNCTION("""COMPUTED_VALUE"""),"Makerspace Open Hours Visits ")</f>
        <v xml:space="preserve">Makerspace Open Hours Visits </v>
      </c>
      <c r="S50" s="3"/>
      <c r="T50" s="3" t="str">
        <f ca="1">IFERROR(__xludf.DUMMYFUNCTION("""COMPUTED_VALUE"""),"Norman North")</f>
        <v>Norman North</v>
      </c>
      <c r="U50" s="3"/>
      <c r="V50" s="3"/>
      <c r="W50" s="3"/>
      <c r="X50" s="3"/>
      <c r="Y50" s="3"/>
      <c r="Z50" s="3"/>
      <c r="AA50" s="3"/>
      <c r="AB50" s="3"/>
      <c r="AC50" s="3"/>
    </row>
    <row r="51" spans="1:29" ht="13" x14ac:dyDescent="0.15">
      <c r="A51" s="2">
        <f ca="1">IFERROR(__xludf.DUMMYFUNCTION("""COMPUTED_VALUE"""),45580.5199615277)</f>
        <v>45580.519961527702</v>
      </c>
      <c r="B51" s="3" t="str">
        <f ca="1">IFERROR(__xludf.DUMMYFUNCTION("""COMPUTED_VALUE"""),"ksmith8@normanps.org")</f>
        <v>ksmith8@normanps.org</v>
      </c>
      <c r="C51" s="3"/>
      <c r="D51" s="3">
        <f ca="1">IFERROR(__xludf.DUMMYFUNCTION("""COMPUTED_VALUE"""),2)</f>
        <v>2</v>
      </c>
      <c r="E51" s="3"/>
      <c r="F51" s="6"/>
      <c r="G51" s="3"/>
      <c r="H51" s="3"/>
      <c r="I51" s="3" t="str">
        <f ca="1">IFERROR(__xludf.DUMMYFUNCTION("""COMPUTED_VALUE"""),"Collaborate")</f>
        <v>Collaborate</v>
      </c>
      <c r="J51" s="3"/>
      <c r="K51" s="3" t="str">
        <f ca="1">IFERROR(__xludf.DUMMYFUNCTION("""COMPUTED_VALUE"""),"Ninth")</f>
        <v>Ninth</v>
      </c>
      <c r="L51" s="3"/>
      <c r="M51" s="3"/>
      <c r="N51" s="3"/>
      <c r="O51" s="3"/>
      <c r="P51" s="3"/>
      <c r="Q51" s="3" t="str">
        <f ca="1">IFERROR(__xludf.DUMMYFUNCTION("""COMPUTED_VALUE"""),"North Academic Council as Library/Media/Department Chair")</f>
        <v>North Academic Council as Library/Media/Department Chair</v>
      </c>
      <c r="R51" s="3"/>
      <c r="S51" s="3"/>
      <c r="T51" s="3" t="str">
        <f ca="1">IFERROR(__xludf.DUMMYFUNCTION("""COMPUTED_VALUE"""),"Norman North")</f>
        <v>Norman North</v>
      </c>
      <c r="U51" s="3"/>
      <c r="V51" s="3"/>
      <c r="W51" s="3"/>
      <c r="X51" s="3"/>
      <c r="Y51" s="3"/>
      <c r="Z51" s="3"/>
      <c r="AA51" s="3"/>
      <c r="AB51" s="3"/>
      <c r="AC51" s="3"/>
    </row>
    <row r="52" spans="1:29" ht="13" x14ac:dyDescent="0.15">
      <c r="A52" s="2">
        <f ca="1">IFERROR(__xludf.DUMMYFUNCTION("""COMPUTED_VALUE"""),45580.523095324)</f>
        <v>45580.523095324002</v>
      </c>
      <c r="B52" s="3" t="str">
        <f ca="1">IFERROR(__xludf.DUMMYFUNCTION("""COMPUTED_VALUE"""),"ksmith8@normanps.org")</f>
        <v>ksmith8@normanps.org</v>
      </c>
      <c r="C52" s="3"/>
      <c r="D52" s="3">
        <f ca="1">IFERROR(__xludf.DUMMYFUNCTION("""COMPUTED_VALUE"""),2)</f>
        <v>2</v>
      </c>
      <c r="E52" s="3"/>
      <c r="F52" s="6"/>
      <c r="G52" s="3"/>
      <c r="H52" s="3"/>
      <c r="I52" s="3" t="str">
        <f ca="1">IFERROR(__xludf.DUMMYFUNCTION("""COMPUTED_VALUE"""),"Include")</f>
        <v>Include</v>
      </c>
      <c r="J52" s="3" t="str">
        <f ca="1">IFERROR(__xludf.DUMMYFUNCTION("""COMPUTED_VALUE"""),"ELA")</f>
        <v>ELA</v>
      </c>
      <c r="K52" s="3" t="str">
        <f ca="1">IFERROR(__xludf.DUMMYFUNCTION("""COMPUTED_VALUE"""),"Eleventh")</f>
        <v>Eleventh</v>
      </c>
      <c r="L52" s="3"/>
      <c r="M52" s="3"/>
      <c r="N52" s="3"/>
      <c r="O52" s="3"/>
      <c r="P52" s="3"/>
      <c r="Q52" s="3" t="str">
        <f ca="1">IFERROR(__xludf.DUMMYFUNCTION("""COMPUTED_VALUE"""),"North New Teacher Meetings as North New Teacher Liaison")</f>
        <v>North New Teacher Meetings as North New Teacher Liaison</v>
      </c>
      <c r="R52" s="3"/>
      <c r="S52" s="3"/>
      <c r="T52" s="3" t="str">
        <f ca="1">IFERROR(__xludf.DUMMYFUNCTION("""COMPUTED_VALUE"""),"Norman North")</f>
        <v>Norman North</v>
      </c>
      <c r="U52" s="3"/>
      <c r="V52" s="3"/>
      <c r="W52" s="3"/>
      <c r="X52" s="3"/>
      <c r="Y52" s="3"/>
      <c r="Z52" s="3"/>
      <c r="AA52" s="3"/>
      <c r="AB52" s="3"/>
      <c r="AC52" s="3"/>
    </row>
    <row r="53" spans="1:29" ht="13" x14ac:dyDescent="0.15">
      <c r="A53" s="2">
        <f ca="1">IFERROR(__xludf.DUMMYFUNCTION("""COMPUTED_VALUE"""),45580.5237668981)</f>
        <v>45580.523766898099</v>
      </c>
      <c r="B53" s="3" t="str">
        <f ca="1">IFERROR(__xludf.DUMMYFUNCTION("""COMPUTED_VALUE"""),"ksmith8@normanps.org")</f>
        <v>ksmith8@normanps.org</v>
      </c>
      <c r="C53" s="3"/>
      <c r="D53" s="3">
        <f ca="1">IFERROR(__xludf.DUMMYFUNCTION("""COMPUTED_VALUE"""),5)</f>
        <v>5</v>
      </c>
      <c r="E53" s="3"/>
      <c r="F53" s="6"/>
      <c r="G53" s="3"/>
      <c r="H53" s="3"/>
      <c r="I53" s="3" t="str">
        <f ca="1">IFERROR(__xludf.DUMMYFUNCTION("""COMPUTED_VALUE"""),"Include")</f>
        <v>Include</v>
      </c>
      <c r="J53" s="3" t="str">
        <f ca="1">IFERROR(__xludf.DUMMYFUNCTION("""COMPUTED_VALUE"""),"ELA")</f>
        <v>ELA</v>
      </c>
      <c r="K53" s="3" t="str">
        <f ca="1">IFERROR(__xludf.DUMMYFUNCTION("""COMPUTED_VALUE"""),"Twelfth")</f>
        <v>Twelfth</v>
      </c>
      <c r="L53" s="3"/>
      <c r="M53" s="3"/>
      <c r="N53" s="3"/>
      <c r="O53" s="3"/>
      <c r="P53" s="3"/>
      <c r="Q53" s="3" t="str">
        <f ca="1">IFERROR(__xludf.DUMMYFUNCTION("""COMPUTED_VALUE"""),"North New Teacher Meetings as North New Teacher Liaison")</f>
        <v>North New Teacher Meetings as North New Teacher Liaison</v>
      </c>
      <c r="R53" s="3"/>
      <c r="S53" s="3"/>
      <c r="T53" s="3" t="str">
        <f ca="1">IFERROR(__xludf.DUMMYFUNCTION("""COMPUTED_VALUE"""),"Norman North")</f>
        <v>Norman North</v>
      </c>
      <c r="U53" s="3"/>
      <c r="V53" s="3"/>
      <c r="W53" s="3"/>
      <c r="X53" s="3"/>
      <c r="Y53" s="3"/>
      <c r="Z53" s="3"/>
      <c r="AA53" s="3"/>
      <c r="AB53" s="3"/>
      <c r="AC53" s="3"/>
    </row>
    <row r="54" spans="1:29" ht="13" x14ac:dyDescent="0.15">
      <c r="A54" s="2">
        <f ca="1">IFERROR(__xludf.DUMMYFUNCTION("""COMPUTED_VALUE"""),45580.5247067939)</f>
        <v>45580.524706793898</v>
      </c>
      <c r="B54" s="3" t="str">
        <f ca="1">IFERROR(__xludf.DUMMYFUNCTION("""COMPUTED_VALUE"""),"ksmith8@normanps.org")</f>
        <v>ksmith8@normanps.org</v>
      </c>
      <c r="C54" s="3"/>
      <c r="D54" s="3">
        <f ca="1">IFERROR(__xludf.DUMMYFUNCTION("""COMPUTED_VALUE"""),4)</f>
        <v>4</v>
      </c>
      <c r="E54" s="3"/>
      <c r="F54" s="6"/>
      <c r="G54" s="3"/>
      <c r="H54" s="3"/>
      <c r="I54" s="3" t="str">
        <f ca="1">IFERROR(__xludf.DUMMYFUNCTION("""COMPUTED_VALUE"""),"Inquire")</f>
        <v>Inquire</v>
      </c>
      <c r="J54" s="3" t="str">
        <f ca="1">IFERROR(__xludf.DUMMYFUNCTION("""COMPUTED_VALUE"""),"Social Studies")</f>
        <v>Social Studies</v>
      </c>
      <c r="K54" s="3" t="str">
        <f ca="1">IFERROR(__xludf.DUMMYFUNCTION("""COMPUTED_VALUE"""),"Twelfth")</f>
        <v>Twelfth</v>
      </c>
      <c r="L54" s="3"/>
      <c r="M54" s="3"/>
      <c r="N54" s="3"/>
      <c r="O54" s="3"/>
      <c r="P54" s="3"/>
      <c r="Q54" s="3"/>
      <c r="R54" s="3"/>
      <c r="S54" s="3"/>
      <c r="T54" s="3" t="str">
        <f ca="1">IFERROR(__xludf.DUMMYFUNCTION("""COMPUTED_VALUE"""),"Norman North")</f>
        <v>Norman North</v>
      </c>
      <c r="U54" s="3"/>
      <c r="V54" s="3"/>
      <c r="W54" s="3"/>
      <c r="X54" s="3"/>
      <c r="Y54" s="3"/>
      <c r="Z54" s="3"/>
      <c r="AA54" s="3"/>
      <c r="AB54" s="3"/>
      <c r="AC54" s="3"/>
    </row>
    <row r="55" spans="1:29" ht="13" x14ac:dyDescent="0.15">
      <c r="A55" s="2">
        <f ca="1">IFERROR(__xludf.DUMMYFUNCTION("""COMPUTED_VALUE"""),45580.5259567939)</f>
        <v>45580.525956793899</v>
      </c>
      <c r="B55" s="3" t="str">
        <f ca="1">IFERROR(__xludf.DUMMYFUNCTION("""COMPUTED_VALUE"""),"ksmith8@normanps.org")</f>
        <v>ksmith8@normanps.org</v>
      </c>
      <c r="C55" s="3"/>
      <c r="D55" s="3">
        <f ca="1">IFERROR(__xludf.DUMMYFUNCTION("""COMPUTED_VALUE"""),1)</f>
        <v>1</v>
      </c>
      <c r="E55" s="3"/>
      <c r="F55" s="6"/>
      <c r="G55" s="3"/>
      <c r="H55" s="3"/>
      <c r="I55" s="3" t="str">
        <f ca="1">IFERROR(__xludf.DUMMYFUNCTION("""COMPUTED_VALUE"""),"Include")</f>
        <v>Include</v>
      </c>
      <c r="J55" s="3" t="str">
        <f ca="1">IFERROR(__xludf.DUMMYFUNCTION("""COMPUTED_VALUE"""),"Direct Instruction")</f>
        <v>Direct Instruction</v>
      </c>
      <c r="K55" s="3" t="str">
        <f ca="1">IFERROR(__xludf.DUMMYFUNCTION("""COMPUTED_VALUE"""),"Autism/SPED multi-level high school")</f>
        <v>Autism/SPED multi-level high school</v>
      </c>
      <c r="L55" s="3"/>
      <c r="M55" s="3"/>
      <c r="N55" s="3"/>
      <c r="O55" s="3"/>
      <c r="P55" s="3"/>
      <c r="Q55" s="3"/>
      <c r="R55" s="3"/>
      <c r="S55" s="3"/>
      <c r="T55" s="3" t="str">
        <f ca="1">IFERROR(__xludf.DUMMYFUNCTION("""COMPUTED_VALUE"""),"Norman North")</f>
        <v>Norman North</v>
      </c>
      <c r="U55" s="3"/>
      <c r="V55" s="3"/>
      <c r="W55" s="3"/>
      <c r="X55" s="3"/>
      <c r="Y55" s="3"/>
      <c r="Z55" s="3"/>
      <c r="AA55" s="3"/>
      <c r="AB55" s="3"/>
      <c r="AC55" s="3"/>
    </row>
    <row r="56" spans="1:29" ht="13" x14ac:dyDescent="0.15">
      <c r="A56" s="2">
        <f ca="1">IFERROR(__xludf.DUMMYFUNCTION("""COMPUTED_VALUE"""),45580.5271103819)</f>
        <v>45580.527110381903</v>
      </c>
      <c r="B56" s="3" t="str">
        <f ca="1">IFERROR(__xludf.DUMMYFUNCTION("""COMPUTED_VALUE"""),"ksmith8@normanps.org")</f>
        <v>ksmith8@normanps.org</v>
      </c>
      <c r="C56" s="3"/>
      <c r="D56" s="3">
        <f ca="1">IFERROR(__xludf.DUMMYFUNCTION("""COMPUTED_VALUE"""),1)</f>
        <v>1</v>
      </c>
      <c r="E56" s="3"/>
      <c r="F56" s="6"/>
      <c r="G56" s="3"/>
      <c r="H56" s="3"/>
      <c r="I56" s="3" t="str">
        <f ca="1">IFERROR(__xludf.DUMMYFUNCTION("""COMPUTED_VALUE"""),"Collaborate")</f>
        <v>Collaborate</v>
      </c>
      <c r="J56" s="3" t="str">
        <f ca="1">IFERROR(__xludf.DUMMYFUNCTION("""COMPUTED_VALUE"""),"ELA")</f>
        <v>ELA</v>
      </c>
      <c r="K56" s="3" t="str">
        <f ca="1">IFERROR(__xludf.DUMMYFUNCTION("""COMPUTED_VALUE"""),"Twelfth")</f>
        <v>Twelfth</v>
      </c>
      <c r="L56" s="3"/>
      <c r="M56" s="3"/>
      <c r="N56" s="3"/>
      <c r="O56" s="3"/>
      <c r="P56" s="3"/>
      <c r="Q56" s="3"/>
      <c r="R56" s="3"/>
      <c r="S56" s="3"/>
      <c r="T56" s="3" t="str">
        <f ca="1">IFERROR(__xludf.DUMMYFUNCTION("""COMPUTED_VALUE"""),"Norman North")</f>
        <v>Norman North</v>
      </c>
      <c r="U56" s="3"/>
      <c r="V56" s="3"/>
      <c r="W56" s="3"/>
      <c r="X56" s="3"/>
      <c r="Y56" s="3"/>
      <c r="Z56" s="3"/>
      <c r="AA56" s="3"/>
      <c r="AB56" s="3"/>
      <c r="AC56" s="3"/>
    </row>
    <row r="57" spans="1:29" ht="13" x14ac:dyDescent="0.15">
      <c r="A57" s="2">
        <f ca="1">IFERROR(__xludf.DUMMYFUNCTION("""COMPUTED_VALUE"""),45580.5297377083)</f>
        <v>45580.529737708297</v>
      </c>
      <c r="B57" s="3" t="str">
        <f ca="1">IFERROR(__xludf.DUMMYFUNCTION("""COMPUTED_VALUE"""),"ksmith8@normanps.org")</f>
        <v>ksmith8@normanps.org</v>
      </c>
      <c r="C57" s="3"/>
      <c r="D57" s="3">
        <f ca="1">IFERROR(__xludf.DUMMYFUNCTION("""COMPUTED_VALUE"""),8)</f>
        <v>8</v>
      </c>
      <c r="E57" s="3"/>
      <c r="F57" s="6"/>
      <c r="G57" s="3"/>
      <c r="H57" s="3"/>
      <c r="I57" s="3" t="str">
        <f ca="1">IFERROR(__xludf.DUMMYFUNCTION("""COMPUTED_VALUE"""),"Engage")</f>
        <v>Engage</v>
      </c>
      <c r="J57" s="3" t="str">
        <f ca="1">IFERROR(__xludf.DUMMYFUNCTION("""COMPUTED_VALUE"""),"Social Studies")</f>
        <v>Social Studies</v>
      </c>
      <c r="K57" s="3" t="str">
        <f ca="1">IFERROR(__xludf.DUMMYFUNCTION("""COMPUTED_VALUE"""),"Tenth")</f>
        <v>Tenth</v>
      </c>
      <c r="L57" s="3"/>
      <c r="M57" s="3"/>
      <c r="N57" s="3"/>
      <c r="O57" s="3"/>
      <c r="P57" s="3"/>
      <c r="Q57" s="3"/>
      <c r="R57" s="3"/>
      <c r="S57" s="3"/>
      <c r="T57" s="3" t="str">
        <f ca="1">IFERROR(__xludf.DUMMYFUNCTION("""COMPUTED_VALUE"""),"Norman North")</f>
        <v>Norman North</v>
      </c>
      <c r="U57" s="3"/>
      <c r="V57" s="3"/>
      <c r="W57" s="3"/>
      <c r="X57" s="3"/>
      <c r="Y57" s="3"/>
      <c r="Z57" s="3"/>
      <c r="AA57" s="3"/>
      <c r="AB57" s="3"/>
      <c r="AC57" s="3"/>
    </row>
    <row r="58" spans="1:29" ht="13" x14ac:dyDescent="0.15">
      <c r="A58" s="2">
        <f ca="1">IFERROR(__xludf.DUMMYFUNCTION("""COMPUTED_VALUE"""),45580.5310877893)</f>
        <v>45580.531087789299</v>
      </c>
      <c r="B58" s="3" t="str">
        <f ca="1">IFERROR(__xludf.DUMMYFUNCTION("""COMPUTED_VALUE"""),"ksmith8@normanps.org")</f>
        <v>ksmith8@normanps.org</v>
      </c>
      <c r="C58" s="3"/>
      <c r="D58" s="3">
        <f ca="1">IFERROR(__xludf.DUMMYFUNCTION("""COMPUTED_VALUE"""),1)</f>
        <v>1</v>
      </c>
      <c r="E58" s="3"/>
      <c r="F58" s="6"/>
      <c r="G58" s="3"/>
      <c r="H58" s="3"/>
      <c r="I58" s="3" t="str">
        <f ca="1">IFERROR(__xludf.DUMMYFUNCTION("""COMPUTED_VALUE"""),"Engage")</f>
        <v>Engage</v>
      </c>
      <c r="J58" s="3" t="str">
        <f ca="1">IFERROR(__xludf.DUMMYFUNCTION("""COMPUTED_VALUE"""),"ELA")</f>
        <v>ELA</v>
      </c>
      <c r="K58" s="3" t="str">
        <f ca="1">IFERROR(__xludf.DUMMYFUNCTION("""COMPUTED_VALUE"""),"HS multi-grade class")</f>
        <v>HS multi-grade class</v>
      </c>
      <c r="L58" s="3"/>
      <c r="M58" s="3"/>
      <c r="N58" s="3"/>
      <c r="O58" s="3"/>
      <c r="P58" s="3"/>
      <c r="Q58" s="3"/>
      <c r="R58" s="3"/>
      <c r="S58" s="3"/>
      <c r="T58" s="3" t="str">
        <f ca="1">IFERROR(__xludf.DUMMYFUNCTION("""COMPUTED_VALUE"""),"Norman North")</f>
        <v>Norman North</v>
      </c>
      <c r="U58" s="3"/>
      <c r="V58" s="3"/>
      <c r="W58" s="3"/>
      <c r="X58" s="3"/>
      <c r="Y58" s="3"/>
      <c r="Z58" s="3"/>
      <c r="AA58" s="3"/>
      <c r="AB58" s="3"/>
      <c r="AC58" s="3"/>
    </row>
    <row r="59" spans="1:29" ht="13" x14ac:dyDescent="0.15">
      <c r="A59" s="2">
        <f ca="1">IFERROR(__xludf.DUMMYFUNCTION("""COMPUTED_VALUE"""),45580.5319257986)</f>
        <v>45580.531925798598</v>
      </c>
      <c r="B59" s="3" t="str">
        <f ca="1">IFERROR(__xludf.DUMMYFUNCTION("""COMPUTED_VALUE"""),"ksmith8@normanps.org")</f>
        <v>ksmith8@normanps.org</v>
      </c>
      <c r="C59" s="3"/>
      <c r="D59" s="3">
        <f ca="1">IFERROR(__xludf.DUMMYFUNCTION("""COMPUTED_VALUE"""),3)</f>
        <v>3</v>
      </c>
      <c r="E59" s="3"/>
      <c r="F59" s="6"/>
      <c r="G59" s="3"/>
      <c r="H59" s="3"/>
      <c r="I59" s="3" t="str">
        <f ca="1">IFERROR(__xludf.DUMMYFUNCTION("""COMPUTED_VALUE"""),"Curate")</f>
        <v>Curate</v>
      </c>
      <c r="J59" s="3" t="str">
        <f ca="1">IFERROR(__xludf.DUMMYFUNCTION("""COMPUTED_VALUE"""),"Art")</f>
        <v>Art</v>
      </c>
      <c r="K59" s="3" t="str">
        <f ca="1">IFERROR(__xludf.DUMMYFUNCTION("""COMPUTED_VALUE"""),"HS multi-grade class")</f>
        <v>HS multi-grade class</v>
      </c>
      <c r="L59" s="3"/>
      <c r="M59" s="3"/>
      <c r="N59" s="3"/>
      <c r="O59" s="3"/>
      <c r="P59" s="3"/>
      <c r="Q59" s="3"/>
      <c r="R59" s="3"/>
      <c r="S59" s="3"/>
      <c r="T59" s="3" t="str">
        <f ca="1">IFERROR(__xludf.DUMMYFUNCTION("""COMPUTED_VALUE"""),"Norman North")</f>
        <v>Norman North</v>
      </c>
      <c r="U59" s="3"/>
      <c r="V59" s="3"/>
      <c r="W59" s="3"/>
      <c r="X59" s="3"/>
      <c r="Y59" s="3"/>
      <c r="Z59" s="3"/>
      <c r="AA59" s="3"/>
      <c r="AB59" s="3"/>
      <c r="AC59" s="3"/>
    </row>
    <row r="60" spans="1:29" ht="13" x14ac:dyDescent="0.15">
      <c r="A60" s="2">
        <f ca="1">IFERROR(__xludf.DUMMYFUNCTION("""COMPUTED_VALUE"""),45593.4617384838)</f>
        <v>45593.461738483798</v>
      </c>
      <c r="B60" s="3" t="str">
        <f ca="1">IFERROR(__xludf.DUMMYFUNCTION("""COMPUTED_VALUE"""),"ksmith8@normanps.org")</f>
        <v>ksmith8@normanps.org</v>
      </c>
      <c r="C60" s="3"/>
      <c r="D60" s="3">
        <f ca="1">IFERROR(__xludf.DUMMYFUNCTION("""COMPUTED_VALUE"""),12)</f>
        <v>12</v>
      </c>
      <c r="E60" s="3"/>
      <c r="F60" s="6"/>
      <c r="G60" s="3"/>
      <c r="H60" s="3"/>
      <c r="I60" s="3" t="str">
        <f ca="1">IFERROR(__xludf.DUMMYFUNCTION("""COMPUTED_VALUE"""),"Inquire")</f>
        <v>Inquire</v>
      </c>
      <c r="J60" s="3" t="str">
        <f ca="1">IFERROR(__xludf.DUMMYFUNCTION("""COMPUTED_VALUE"""),"ELA")</f>
        <v>ELA</v>
      </c>
      <c r="K60" s="3" t="str">
        <f ca="1">IFERROR(__xludf.DUMMYFUNCTION("""COMPUTED_VALUE"""),"Eleventh")</f>
        <v>Eleventh</v>
      </c>
      <c r="L60" s="3"/>
      <c r="M60" s="3">
        <f ca="1">IFERROR(__xludf.DUMMYFUNCTION("""COMPUTED_VALUE"""),125)</f>
        <v>125</v>
      </c>
      <c r="N60" s="3"/>
      <c r="O60" s="3"/>
      <c r="P60" s="3"/>
      <c r="Q60" s="3"/>
      <c r="R60" s="3"/>
      <c r="S60" s="3"/>
      <c r="T60" s="3" t="str">
        <f ca="1">IFERROR(__xludf.DUMMYFUNCTION("""COMPUTED_VALUE"""),"Norman North")</f>
        <v>Norman North</v>
      </c>
      <c r="U60" s="3"/>
      <c r="V60" s="3"/>
      <c r="W60" s="3"/>
      <c r="X60" s="3"/>
      <c r="Y60" s="3"/>
      <c r="Z60" s="3"/>
      <c r="AA60" s="3"/>
      <c r="AB60" s="3"/>
      <c r="AC60" s="3"/>
    </row>
    <row r="61" spans="1:29" ht="13" x14ac:dyDescent="0.15">
      <c r="A61" s="2">
        <f ca="1">IFERROR(__xludf.DUMMYFUNCTION("""COMPUTED_VALUE"""),45593.4620344675)</f>
        <v>45593.462034467499</v>
      </c>
      <c r="B61" s="3" t="str">
        <f ca="1">IFERROR(__xludf.DUMMYFUNCTION("""COMPUTED_VALUE"""),"ksmith8@normanps.org")</f>
        <v>ksmith8@normanps.org</v>
      </c>
      <c r="C61" s="3"/>
      <c r="D61" s="3">
        <f ca="1">IFERROR(__xludf.DUMMYFUNCTION("""COMPUTED_VALUE"""),3)</f>
        <v>3</v>
      </c>
      <c r="E61" s="3"/>
      <c r="F61" s="6"/>
      <c r="G61" s="3"/>
      <c r="H61" s="3"/>
      <c r="I61" s="3" t="str">
        <f ca="1">IFERROR(__xludf.DUMMYFUNCTION("""COMPUTED_VALUE"""),"Inquire")</f>
        <v>Inquire</v>
      </c>
      <c r="J61" s="3" t="str">
        <f ca="1">IFERROR(__xludf.DUMMYFUNCTION("""COMPUTED_VALUE"""),"ELA")</f>
        <v>ELA</v>
      </c>
      <c r="K61" s="3" t="str">
        <f ca="1">IFERROR(__xludf.DUMMYFUNCTION("""COMPUTED_VALUE"""),"Eleventh")</f>
        <v>Eleventh</v>
      </c>
      <c r="L61" s="3"/>
      <c r="M61" s="3"/>
      <c r="N61" s="3"/>
      <c r="O61" s="3"/>
      <c r="P61" s="3"/>
      <c r="Q61" s="3"/>
      <c r="R61" s="3"/>
      <c r="S61" s="3"/>
      <c r="T61" s="3" t="str">
        <f ca="1">IFERROR(__xludf.DUMMYFUNCTION("""COMPUTED_VALUE"""),"Norman North")</f>
        <v>Norman North</v>
      </c>
      <c r="U61" s="3"/>
      <c r="V61" s="3"/>
      <c r="W61" s="3"/>
      <c r="X61" s="3"/>
      <c r="Y61" s="3"/>
      <c r="Z61" s="3"/>
      <c r="AA61" s="3"/>
      <c r="AB61" s="3"/>
      <c r="AC61" s="3"/>
    </row>
    <row r="62" spans="1:29" ht="13" x14ac:dyDescent="0.15">
      <c r="A62" s="2">
        <f ca="1">IFERROR(__xludf.DUMMYFUNCTION("""COMPUTED_VALUE"""),45593.4623404861)</f>
        <v>45593.462340486098</v>
      </c>
      <c r="B62" s="3" t="str">
        <f ca="1">IFERROR(__xludf.DUMMYFUNCTION("""COMPUTED_VALUE"""),"ksmith8@normanps.org")</f>
        <v>ksmith8@normanps.org</v>
      </c>
      <c r="C62" s="3"/>
      <c r="D62" s="3">
        <f ca="1">IFERROR(__xludf.DUMMYFUNCTION("""COMPUTED_VALUE"""),8)</f>
        <v>8</v>
      </c>
      <c r="E62" s="3"/>
      <c r="F62" s="6"/>
      <c r="G62" s="3"/>
      <c r="H62" s="3"/>
      <c r="I62" s="3" t="str">
        <f ca="1">IFERROR(__xludf.DUMMYFUNCTION("""COMPUTED_VALUE"""),"Curate")</f>
        <v>Curate</v>
      </c>
      <c r="J62" s="3" t="str">
        <f ca="1">IFERROR(__xludf.DUMMYFUNCTION("""COMPUTED_VALUE"""),"Science")</f>
        <v>Science</v>
      </c>
      <c r="K62" s="3" t="str">
        <f ca="1">IFERROR(__xludf.DUMMYFUNCTION("""COMPUTED_VALUE"""),"HS multi-grade class")</f>
        <v>HS multi-grade class</v>
      </c>
      <c r="L62" s="3"/>
      <c r="M62" s="3"/>
      <c r="N62" s="3"/>
      <c r="O62" s="3"/>
      <c r="P62" s="3"/>
      <c r="Q62" s="3"/>
      <c r="R62" s="3"/>
      <c r="S62" s="3"/>
      <c r="T62" s="3" t="str">
        <f ca="1">IFERROR(__xludf.DUMMYFUNCTION("""COMPUTED_VALUE"""),"Norman North")</f>
        <v>Norman North</v>
      </c>
      <c r="U62" s="3"/>
      <c r="V62" s="3"/>
      <c r="W62" s="3"/>
      <c r="X62" s="3"/>
      <c r="Y62" s="3"/>
      <c r="Z62" s="3"/>
      <c r="AA62" s="3"/>
      <c r="AB62" s="3"/>
      <c r="AC62" s="3"/>
    </row>
    <row r="63" spans="1:29" ht="13" x14ac:dyDescent="0.15">
      <c r="A63" s="2">
        <f ca="1">IFERROR(__xludf.DUMMYFUNCTION("""COMPUTED_VALUE"""),45593.4627941666)</f>
        <v>45593.462794166597</v>
      </c>
      <c r="B63" s="3" t="str">
        <f ca="1">IFERROR(__xludf.DUMMYFUNCTION("""COMPUTED_VALUE"""),"ksmith8@normanps.org")</f>
        <v>ksmith8@normanps.org</v>
      </c>
      <c r="C63" s="3"/>
      <c r="D63" s="3">
        <f ca="1">IFERROR(__xludf.DUMMYFUNCTION("""COMPUTED_VALUE"""),8)</f>
        <v>8</v>
      </c>
      <c r="E63" s="3"/>
      <c r="F63" s="6"/>
      <c r="G63" s="3"/>
      <c r="H63" s="3"/>
      <c r="I63" s="3" t="str">
        <f ca="1">IFERROR(__xludf.DUMMYFUNCTION("""COMPUTED_VALUE"""),"Explore")</f>
        <v>Explore</v>
      </c>
      <c r="J63" s="3" t="str">
        <f ca="1">IFERROR(__xludf.DUMMYFUNCTION("""COMPUTED_VALUE"""),"ELA")</f>
        <v>ELA</v>
      </c>
      <c r="K63" s="3" t="str">
        <f ca="1">IFERROR(__xludf.DUMMYFUNCTION("""COMPUTED_VALUE"""),"HS multi-grade class")</f>
        <v>HS multi-grade class</v>
      </c>
      <c r="L63" s="3"/>
      <c r="M63" s="3"/>
      <c r="N63" s="3"/>
      <c r="O63" s="3"/>
      <c r="P63" s="3"/>
      <c r="Q63" s="3"/>
      <c r="R63" s="3"/>
      <c r="S63" s="3"/>
      <c r="T63" s="3" t="str">
        <f ca="1">IFERROR(__xludf.DUMMYFUNCTION("""COMPUTED_VALUE"""),"Norman North")</f>
        <v>Norman North</v>
      </c>
      <c r="U63" s="3"/>
      <c r="V63" s="3"/>
      <c r="W63" s="3"/>
      <c r="X63" s="3"/>
      <c r="Y63" s="3"/>
      <c r="Z63" s="3"/>
      <c r="AA63" s="3"/>
      <c r="AB63" s="3"/>
      <c r="AC63" s="3"/>
    </row>
    <row r="64" spans="1:29" ht="13" x14ac:dyDescent="0.15">
      <c r="A64" s="2">
        <f ca="1">IFERROR(__xludf.DUMMYFUNCTION("""COMPUTED_VALUE"""),45593.4648018171)</f>
        <v>45593.464801817099</v>
      </c>
      <c r="B64" s="3" t="str">
        <f ca="1">IFERROR(__xludf.DUMMYFUNCTION("""COMPUTED_VALUE"""),"ksmith8@normanps.org")</f>
        <v>ksmith8@normanps.org</v>
      </c>
      <c r="C64" s="3"/>
      <c r="D64" s="3">
        <f ca="1">IFERROR(__xludf.DUMMYFUNCTION("""COMPUTED_VALUE"""),6)</f>
        <v>6</v>
      </c>
      <c r="E64" s="3"/>
      <c r="F64" s="6"/>
      <c r="G64" s="3"/>
      <c r="H64" s="3"/>
      <c r="I64" s="3" t="str">
        <f ca="1">IFERROR(__xludf.DUMMYFUNCTION("""COMPUTED_VALUE"""),"Explore")</f>
        <v>Explore</v>
      </c>
      <c r="J64" s="3" t="str">
        <f ca="1">IFERROR(__xludf.DUMMYFUNCTION("""COMPUTED_VALUE"""),"Science")</f>
        <v>Science</v>
      </c>
      <c r="K64" s="3" t="str">
        <f ca="1">IFERROR(__xludf.DUMMYFUNCTION("""COMPUTED_VALUE"""),"HS multi-grade class")</f>
        <v>HS multi-grade class</v>
      </c>
      <c r="L64" s="3"/>
      <c r="M64" s="3"/>
      <c r="N64" s="3"/>
      <c r="O64" s="3"/>
      <c r="P64" s="3" t="str">
        <f ca="1">IFERROR(__xludf.DUMMYFUNCTION("""COMPUTED_VALUE"""),"OU Libraries")</f>
        <v>OU Libraries</v>
      </c>
      <c r="Q64" s="3"/>
      <c r="R64" s="3" t="str">
        <f ca="1">IFERROR(__xludf.DUMMYFUNCTION("""COMPUTED_VALUE"""),"AP Research Field Trip")</f>
        <v>AP Research Field Trip</v>
      </c>
      <c r="S64" s="3"/>
      <c r="T64" s="3" t="str">
        <f ca="1">IFERROR(__xludf.DUMMYFUNCTION("""COMPUTED_VALUE"""),"Norman North")</f>
        <v>Norman North</v>
      </c>
      <c r="U64" s="3"/>
      <c r="V64" s="3"/>
      <c r="W64" s="3"/>
      <c r="X64" s="3"/>
      <c r="Y64" s="3"/>
      <c r="Z64" s="3"/>
      <c r="AA64" s="3"/>
      <c r="AB64" s="3"/>
      <c r="AC64" s="3"/>
    </row>
    <row r="65" spans="1:29" ht="13" x14ac:dyDescent="0.15">
      <c r="A65" s="2">
        <f ca="1">IFERROR(__xludf.DUMMYFUNCTION("""COMPUTED_VALUE"""),45593.4654487962)</f>
        <v>45593.465448796203</v>
      </c>
      <c r="B65" s="3" t="str">
        <f ca="1">IFERROR(__xludf.DUMMYFUNCTION("""COMPUTED_VALUE"""),"ksmith8@normanps.org")</f>
        <v>ksmith8@normanps.org</v>
      </c>
      <c r="C65" s="3"/>
      <c r="D65" s="3">
        <f ca="1">IFERROR(__xludf.DUMMYFUNCTION("""COMPUTED_VALUE"""),2)</f>
        <v>2</v>
      </c>
      <c r="E65" s="3"/>
      <c r="F65" s="6"/>
      <c r="G65" s="3"/>
      <c r="H65" s="3"/>
      <c r="I65" s="3" t="str">
        <f ca="1">IFERROR(__xludf.DUMMYFUNCTION("""COMPUTED_VALUE"""),"Engage")</f>
        <v>Engage</v>
      </c>
      <c r="J65" s="3" t="str">
        <f ca="1">IFERROR(__xludf.DUMMYFUNCTION("""COMPUTED_VALUE"""),"EL")</f>
        <v>EL</v>
      </c>
      <c r="K65" s="3" t="str">
        <f ca="1">IFERROR(__xludf.DUMMYFUNCTION("""COMPUTED_VALUE"""),"Ninth")</f>
        <v>Ninth</v>
      </c>
      <c r="L65" s="3"/>
      <c r="M65" s="3"/>
      <c r="N65" s="3"/>
      <c r="O65" s="3"/>
      <c r="P65" s="3" t="str">
        <f ca="1">IFERROR(__xludf.DUMMYFUNCTION("""COMPUTED_VALUE"""),"OU Libraries ")</f>
        <v xml:space="preserve">OU Libraries </v>
      </c>
      <c r="Q65" s="3"/>
      <c r="R65" s="3" t="str">
        <f ca="1">IFERROR(__xludf.DUMMYFUNCTION("""COMPUTED_VALUE"""),"OU Comp 1 Field Trip")</f>
        <v>OU Comp 1 Field Trip</v>
      </c>
      <c r="S65" s="3"/>
      <c r="T65" s="3" t="str">
        <f ca="1">IFERROR(__xludf.DUMMYFUNCTION("""COMPUTED_VALUE"""),"Norman North")</f>
        <v>Norman North</v>
      </c>
      <c r="U65" s="3"/>
      <c r="V65" s="3"/>
      <c r="W65" s="3"/>
      <c r="X65" s="3"/>
      <c r="Y65" s="3"/>
      <c r="Z65" s="3"/>
      <c r="AA65" s="3"/>
      <c r="AB65" s="3"/>
      <c r="AC65" s="3"/>
    </row>
    <row r="66" spans="1:29" ht="13" x14ac:dyDescent="0.15">
      <c r="A66" s="2">
        <f ca="1">IFERROR(__xludf.DUMMYFUNCTION("""COMPUTED_VALUE"""),45593.4659635995)</f>
        <v>45593.465963599498</v>
      </c>
      <c r="B66" s="3" t="str">
        <f ca="1">IFERROR(__xludf.DUMMYFUNCTION("""COMPUTED_VALUE"""),"ksmith8@normanps.org")</f>
        <v>ksmith8@normanps.org</v>
      </c>
      <c r="C66" s="3"/>
      <c r="D66" s="3">
        <f ca="1">IFERROR(__xludf.DUMMYFUNCTION("""COMPUTED_VALUE"""),2)</f>
        <v>2</v>
      </c>
      <c r="E66" s="3"/>
      <c r="F66" s="6"/>
      <c r="G66" s="3"/>
      <c r="H66" s="3"/>
      <c r="I66" s="3" t="str">
        <f ca="1">IFERROR(__xludf.DUMMYFUNCTION("""COMPUTED_VALUE"""),"Inquire")</f>
        <v>Inquire</v>
      </c>
      <c r="J66" s="3" t="str">
        <f ca="1">IFERROR(__xludf.DUMMYFUNCTION("""COMPUTED_VALUE"""),"Direct Instruction")</f>
        <v>Direct Instruction</v>
      </c>
      <c r="K66" s="3" t="str">
        <f ca="1">IFERROR(__xludf.DUMMYFUNCTION("""COMPUTED_VALUE"""),"Tenth")</f>
        <v>Tenth</v>
      </c>
      <c r="L66" s="3"/>
      <c r="M66" s="3"/>
      <c r="N66" s="3"/>
      <c r="O66" s="3"/>
      <c r="P66" s="3"/>
      <c r="Q66" s="3"/>
      <c r="R66" s="3"/>
      <c r="S66" s="3"/>
      <c r="T66" s="3" t="str">
        <f ca="1">IFERROR(__xludf.DUMMYFUNCTION("""COMPUTED_VALUE"""),"Norman North")</f>
        <v>Norman North</v>
      </c>
      <c r="U66" s="3"/>
      <c r="V66" s="3"/>
      <c r="W66" s="3"/>
      <c r="X66" s="3"/>
      <c r="Y66" s="3"/>
      <c r="Z66" s="3"/>
      <c r="AA66" s="3"/>
      <c r="AB66" s="3"/>
      <c r="AC66" s="3"/>
    </row>
    <row r="67" spans="1:29" ht="13" x14ac:dyDescent="0.15">
      <c r="A67" s="2">
        <f ca="1">IFERROR(__xludf.DUMMYFUNCTION("""COMPUTED_VALUE"""),45593.4694075231)</f>
        <v>45593.469407523102</v>
      </c>
      <c r="B67" s="3" t="str">
        <f ca="1">IFERROR(__xludf.DUMMYFUNCTION("""COMPUTED_VALUE"""),"ksmith8@normanps.org")</f>
        <v>ksmith8@normanps.org</v>
      </c>
      <c r="C67" s="3"/>
      <c r="D67" s="3">
        <f ca="1">IFERROR(__xludf.DUMMYFUNCTION("""COMPUTED_VALUE"""),16)</f>
        <v>16</v>
      </c>
      <c r="E67" s="3"/>
      <c r="F67" s="6"/>
      <c r="G67" s="3"/>
      <c r="H67" s="3"/>
      <c r="I67" s="3" t="str">
        <f ca="1">IFERROR(__xludf.DUMMYFUNCTION("""COMPUTED_VALUE"""),"Engage")</f>
        <v>Engage</v>
      </c>
      <c r="J67" s="3" t="str">
        <f ca="1">IFERROR(__xludf.DUMMYFUNCTION("""COMPUTED_VALUE"""),"Social Studies")</f>
        <v>Social Studies</v>
      </c>
      <c r="K67" s="3" t="str">
        <f ca="1">IFERROR(__xludf.DUMMYFUNCTION("""COMPUTED_VALUE"""),"Tenth")</f>
        <v>Tenth</v>
      </c>
      <c r="L67" s="3"/>
      <c r="M67" s="3"/>
      <c r="N67" s="3"/>
      <c r="O67" s="3"/>
      <c r="P67" s="3"/>
      <c r="Q67" s="3"/>
      <c r="R67" s="3"/>
      <c r="S67" s="3"/>
      <c r="T67" s="3" t="str">
        <f ca="1">IFERROR(__xludf.DUMMYFUNCTION("""COMPUTED_VALUE"""),"Norman North")</f>
        <v>Norman North</v>
      </c>
      <c r="U67" s="3"/>
      <c r="V67" s="3"/>
      <c r="W67" s="3"/>
      <c r="X67" s="3"/>
      <c r="Y67" s="3"/>
      <c r="Z67" s="3"/>
      <c r="AA67" s="3"/>
      <c r="AB67" s="3"/>
      <c r="AC67" s="3"/>
    </row>
    <row r="68" spans="1:29" ht="13" x14ac:dyDescent="0.15">
      <c r="A68" s="2">
        <f ca="1">IFERROR(__xludf.DUMMYFUNCTION("""COMPUTED_VALUE"""),45597.6437183333)</f>
        <v>45597.643718333296</v>
      </c>
      <c r="B68" s="3" t="str">
        <f ca="1">IFERROR(__xludf.DUMMYFUNCTION("""COMPUTED_VALUE"""),"ksmith8@normanps.org")</f>
        <v>ksmith8@normanps.org</v>
      </c>
      <c r="C68" s="3"/>
      <c r="D68" s="3">
        <f ca="1">IFERROR(__xludf.DUMMYFUNCTION("""COMPUTED_VALUE"""),2)</f>
        <v>2</v>
      </c>
      <c r="E68" s="3"/>
      <c r="F68" s="6"/>
      <c r="G68" s="3"/>
      <c r="H68" s="3"/>
      <c r="I68" s="3" t="str">
        <f ca="1">IFERROR(__xludf.DUMMYFUNCTION("""COMPUTED_VALUE"""),"Collaborate")</f>
        <v>Collaborate</v>
      </c>
      <c r="J68" s="3"/>
      <c r="K68" s="3" t="str">
        <f ca="1">IFERROR(__xludf.DUMMYFUNCTION("""COMPUTED_VALUE"""),"Ninth")</f>
        <v>Ninth</v>
      </c>
      <c r="L68" s="3"/>
      <c r="M68" s="3"/>
      <c r="N68" s="3"/>
      <c r="O68" s="3"/>
      <c r="P68" s="3"/>
      <c r="Q68" s="3"/>
      <c r="R68" s="3"/>
      <c r="S68" s="3"/>
      <c r="T68" s="3" t="str">
        <f ca="1">IFERROR(__xludf.DUMMYFUNCTION("""COMPUTED_VALUE"""),"Norman North")</f>
        <v>Norman North</v>
      </c>
      <c r="U68" s="3"/>
      <c r="V68" s="3"/>
      <c r="W68" s="3"/>
      <c r="X68" s="3"/>
      <c r="Y68" s="3"/>
      <c r="Z68" s="3"/>
      <c r="AA68" s="3"/>
      <c r="AB68" s="3"/>
      <c r="AC68" s="3"/>
    </row>
    <row r="69" spans="1:29" ht="13" x14ac:dyDescent="0.15">
      <c r="A69" s="2">
        <f ca="1">IFERROR(__xludf.DUMMYFUNCTION("""COMPUTED_VALUE"""),45597.6441909027)</f>
        <v>45597.644190902698</v>
      </c>
      <c r="B69" s="3" t="str">
        <f ca="1">IFERROR(__xludf.DUMMYFUNCTION("""COMPUTED_VALUE"""),"ksmith8@normanps.org")</f>
        <v>ksmith8@normanps.org</v>
      </c>
      <c r="C69" s="3"/>
      <c r="D69" s="3">
        <f ca="1">IFERROR(__xludf.DUMMYFUNCTION("""COMPUTED_VALUE"""),2)</f>
        <v>2</v>
      </c>
      <c r="E69" s="3"/>
      <c r="F69" s="6"/>
      <c r="G69" s="3"/>
      <c r="H69" s="3"/>
      <c r="I69" s="3" t="str">
        <f ca="1">IFERROR(__xludf.DUMMYFUNCTION("""COMPUTED_VALUE"""),"Collaborate")</f>
        <v>Collaborate</v>
      </c>
      <c r="J69" s="3" t="str">
        <f ca="1">IFERROR(__xludf.DUMMYFUNCTION("""COMPUTED_VALUE"""),"ELA")</f>
        <v>ELA</v>
      </c>
      <c r="K69" s="3" t="str">
        <f ca="1">IFERROR(__xludf.DUMMYFUNCTION("""COMPUTED_VALUE"""),"Twelfth")</f>
        <v>Twelfth</v>
      </c>
      <c r="L69" s="3"/>
      <c r="M69" s="3"/>
      <c r="N69" s="3"/>
      <c r="O69" s="3"/>
      <c r="P69" s="3"/>
      <c r="Q69" s="3"/>
      <c r="R69" s="3"/>
      <c r="S69" s="3"/>
      <c r="T69" s="3" t="str">
        <f ca="1">IFERROR(__xludf.DUMMYFUNCTION("""COMPUTED_VALUE"""),"Norman North")</f>
        <v>Norman North</v>
      </c>
      <c r="U69" s="3"/>
      <c r="V69" s="3"/>
      <c r="W69" s="3"/>
      <c r="X69" s="3"/>
      <c r="Y69" s="3"/>
      <c r="Z69" s="3"/>
      <c r="AA69" s="3"/>
      <c r="AB69" s="3"/>
      <c r="AC69" s="3"/>
    </row>
    <row r="70" spans="1:29" ht="13" x14ac:dyDescent="0.15">
      <c r="A70" s="2">
        <f ca="1">IFERROR(__xludf.DUMMYFUNCTION("""COMPUTED_VALUE"""),45597.6445645254)</f>
        <v>45597.644564525399</v>
      </c>
      <c r="B70" s="3" t="str">
        <f ca="1">IFERROR(__xludf.DUMMYFUNCTION("""COMPUTED_VALUE"""),"ksmith8@normanps.org")</f>
        <v>ksmith8@normanps.org</v>
      </c>
      <c r="C70" s="3"/>
      <c r="D70" s="3">
        <f ca="1">IFERROR(__xludf.DUMMYFUNCTION("""COMPUTED_VALUE"""),1)</f>
        <v>1</v>
      </c>
      <c r="E70" s="3"/>
      <c r="F70" s="6"/>
      <c r="G70" s="3"/>
      <c r="H70" s="3"/>
      <c r="I70" s="3" t="str">
        <f ca="1">IFERROR(__xludf.DUMMYFUNCTION("""COMPUTED_VALUE"""),"Engage")</f>
        <v>Engage</v>
      </c>
      <c r="J70" s="3" t="str">
        <f ca="1">IFERROR(__xludf.DUMMYFUNCTION("""COMPUTED_VALUE"""),"EL")</f>
        <v>EL</v>
      </c>
      <c r="K70" s="3" t="str">
        <f ca="1">IFERROR(__xludf.DUMMYFUNCTION("""COMPUTED_VALUE"""),"HS multi-grade class")</f>
        <v>HS multi-grade class</v>
      </c>
      <c r="L70" s="3"/>
      <c r="M70" s="3"/>
      <c r="N70" s="3"/>
      <c r="O70" s="3"/>
      <c r="P70" s="3"/>
      <c r="Q70" s="3"/>
      <c r="R70" s="3"/>
      <c r="S70" s="3"/>
      <c r="T70" s="3" t="str">
        <f ca="1">IFERROR(__xludf.DUMMYFUNCTION("""COMPUTED_VALUE"""),"Norman North")</f>
        <v>Norman North</v>
      </c>
      <c r="U70" s="3"/>
      <c r="V70" s="3"/>
      <c r="W70" s="3"/>
      <c r="X70" s="3"/>
      <c r="Y70" s="3"/>
      <c r="Z70" s="3"/>
      <c r="AA70" s="3"/>
      <c r="AB70" s="3"/>
      <c r="AC70" s="3"/>
    </row>
    <row r="71" spans="1:29" ht="13" x14ac:dyDescent="0.15">
      <c r="A71" s="2">
        <f ca="1">IFERROR(__xludf.DUMMYFUNCTION("""COMPUTED_VALUE"""),45597.6456496759)</f>
        <v>45597.645649675898</v>
      </c>
      <c r="B71" s="3" t="str">
        <f ca="1">IFERROR(__xludf.DUMMYFUNCTION("""COMPUTED_VALUE"""),"ksmith8@normanps.org")</f>
        <v>ksmith8@normanps.org</v>
      </c>
      <c r="C71" s="3"/>
      <c r="D71" s="3">
        <f ca="1">IFERROR(__xludf.DUMMYFUNCTION("""COMPUTED_VALUE"""),3)</f>
        <v>3</v>
      </c>
      <c r="E71" s="3"/>
      <c r="F71" s="6">
        <f ca="1">IFERROR(__xludf.DUMMYFUNCTION("""COMPUTED_VALUE"""),3000)</f>
        <v>3000</v>
      </c>
      <c r="G71" s="3">
        <f ca="1">IFERROR(__xludf.DUMMYFUNCTION("""COMPUTED_VALUE"""),8)</f>
        <v>8</v>
      </c>
      <c r="H71" s="3"/>
      <c r="I71" s="3" t="str">
        <f ca="1">IFERROR(__xludf.DUMMYFUNCTION("""COMPUTED_VALUE"""),"Inquire")</f>
        <v>Inquire</v>
      </c>
      <c r="J71" s="3" t="str">
        <f ca="1">IFERROR(__xludf.DUMMYFUNCTION("""COMPUTED_VALUE"""),"Art")</f>
        <v>Art</v>
      </c>
      <c r="K71" s="3" t="str">
        <f ca="1">IFERROR(__xludf.DUMMYFUNCTION("""COMPUTED_VALUE"""),"HS multi-grade class")</f>
        <v>HS multi-grade class</v>
      </c>
      <c r="L71" s="3"/>
      <c r="M71" s="3">
        <f ca="1">IFERROR(__xludf.DUMMYFUNCTION("""COMPUTED_VALUE"""),43)</f>
        <v>43</v>
      </c>
      <c r="N71" s="3"/>
      <c r="O71" s="3"/>
      <c r="P71" s="3"/>
      <c r="Q71" s="3" t="str">
        <f ca="1">IFERROR(__xludf.DUMMYFUNCTION("""COMPUTED_VALUE"""),"North Academic Council as Library/Media/Department Chair")</f>
        <v>North Academic Council as Library/Media/Department Chair</v>
      </c>
      <c r="R71" s="3"/>
      <c r="S71" s="3"/>
      <c r="T71" s="3" t="str">
        <f ca="1">IFERROR(__xludf.DUMMYFUNCTION("""COMPUTED_VALUE"""),"Norman North")</f>
        <v>Norman North</v>
      </c>
      <c r="U71" s="3"/>
      <c r="V71" s="3"/>
      <c r="W71" s="3"/>
      <c r="X71" s="3"/>
      <c r="Y71" s="3"/>
      <c r="Z71" s="3"/>
      <c r="AA71" s="3"/>
      <c r="AB71" s="3"/>
      <c r="AC71" s="3"/>
    </row>
    <row r="72" spans="1:29" ht="13" x14ac:dyDescent="0.15">
      <c r="A72" s="2">
        <f ca="1">IFERROR(__xludf.DUMMYFUNCTION("""COMPUTED_VALUE"""),45597.6483518865)</f>
        <v>45597.648351886499</v>
      </c>
      <c r="B72" s="3" t="str">
        <f ca="1">IFERROR(__xludf.DUMMYFUNCTION("""COMPUTED_VALUE"""),"ksmith8@normanps.org")</f>
        <v>ksmith8@normanps.org</v>
      </c>
      <c r="C72" s="3"/>
      <c r="D72" s="3">
        <f ca="1">IFERROR(__xludf.DUMMYFUNCTION("""COMPUTED_VALUE"""),6)</f>
        <v>6</v>
      </c>
      <c r="E72" s="3"/>
      <c r="F72" s="6"/>
      <c r="G72" s="3"/>
      <c r="H72" s="3"/>
      <c r="I72" s="3" t="str">
        <f ca="1">IFERROR(__xludf.DUMMYFUNCTION("""COMPUTED_VALUE"""),"Explore")</f>
        <v>Explore</v>
      </c>
      <c r="J72" s="3" t="str">
        <f ca="1">IFERROR(__xludf.DUMMYFUNCTION("""COMPUTED_VALUE"""),"Math")</f>
        <v>Math</v>
      </c>
      <c r="K72" s="3" t="str">
        <f ca="1">IFERROR(__xludf.DUMMYFUNCTION("""COMPUTED_VALUE"""),"HS multi-grade class")</f>
        <v>HS multi-grade class</v>
      </c>
      <c r="L72" s="3"/>
      <c r="M72" s="3"/>
      <c r="N72" s="3"/>
      <c r="O72" s="3"/>
      <c r="P72" s="3"/>
      <c r="Q72" s="3"/>
      <c r="R72" s="3"/>
      <c r="S72" s="3"/>
      <c r="T72" s="3" t="str">
        <f ca="1">IFERROR(__xludf.DUMMYFUNCTION("""COMPUTED_VALUE"""),"Norman North")</f>
        <v>Norman North</v>
      </c>
      <c r="U72" s="3"/>
      <c r="V72" s="3"/>
      <c r="W72" s="3"/>
      <c r="X72" s="3"/>
      <c r="Y72" s="3"/>
      <c r="Z72" s="3"/>
      <c r="AA72" s="3"/>
      <c r="AB72" s="3"/>
      <c r="AC72" s="3"/>
    </row>
    <row r="73" spans="1:29" ht="13" x14ac:dyDescent="0.15">
      <c r="A73" s="2">
        <f ca="1">IFERROR(__xludf.DUMMYFUNCTION("""COMPUTED_VALUE"""),45628.4464871643)</f>
        <v>45628.446487164299</v>
      </c>
      <c r="B73" s="3" t="str">
        <f ca="1">IFERROR(__xludf.DUMMYFUNCTION("""COMPUTED_VALUE"""),"ksmith8@normanps.org")</f>
        <v>ksmith8@normanps.org</v>
      </c>
      <c r="C73" s="3"/>
      <c r="D73" s="3">
        <f ca="1">IFERROR(__xludf.DUMMYFUNCTION("""COMPUTED_VALUE"""),6)</f>
        <v>6</v>
      </c>
      <c r="E73" s="3"/>
      <c r="F73" s="6"/>
      <c r="G73" s="3">
        <f ca="1">IFERROR(__xludf.DUMMYFUNCTION("""COMPUTED_VALUE"""),12)</f>
        <v>12</v>
      </c>
      <c r="H73" s="3"/>
      <c r="I73" s="3" t="str">
        <f ca="1">IFERROR(__xludf.DUMMYFUNCTION("""COMPUTED_VALUE"""),"Collaborate")</f>
        <v>Collaborate</v>
      </c>
      <c r="J73" s="3"/>
      <c r="K73" s="3" t="str">
        <f ca="1">IFERROR(__xludf.DUMMYFUNCTION("""COMPUTED_VALUE"""),"Ninth")</f>
        <v>Ninth</v>
      </c>
      <c r="L73" s="3"/>
      <c r="M73" s="3">
        <f ca="1">IFERROR(__xludf.DUMMYFUNCTION("""COMPUTED_VALUE"""),113)</f>
        <v>113</v>
      </c>
      <c r="N73" s="3"/>
      <c r="O73" s="3"/>
      <c r="P73" s="3"/>
      <c r="Q73" s="3" t="str">
        <f ca="1">IFERROR(__xludf.DUMMYFUNCTION("""COMPUTED_VALUE"""),"OKSL Leadership Meeting as Past Chair")</f>
        <v>OKSL Leadership Meeting as Past Chair</v>
      </c>
      <c r="R73" s="3"/>
      <c r="S73" s="3"/>
      <c r="T73" s="3" t="str">
        <f ca="1">IFERROR(__xludf.DUMMYFUNCTION("""COMPUTED_VALUE"""),"Norman North")</f>
        <v>Norman North</v>
      </c>
      <c r="U73" s="3"/>
      <c r="V73" s="3"/>
      <c r="W73" s="3"/>
      <c r="X73" s="3"/>
      <c r="Y73" s="3"/>
      <c r="Z73" s="3"/>
      <c r="AA73" s="3"/>
      <c r="AB73" s="3"/>
      <c r="AC73" s="3"/>
    </row>
    <row r="74" spans="1:29" ht="13" x14ac:dyDescent="0.15">
      <c r="A74" s="2">
        <f ca="1">IFERROR(__xludf.DUMMYFUNCTION("""COMPUTED_VALUE"""),45628.4476715277)</f>
        <v>45628.447671527698</v>
      </c>
      <c r="B74" s="3" t="str">
        <f ca="1">IFERROR(__xludf.DUMMYFUNCTION("""COMPUTED_VALUE"""),"ksmith8@normanps.org")</f>
        <v>ksmith8@normanps.org</v>
      </c>
      <c r="C74" s="3"/>
      <c r="D74" s="3">
        <f ca="1">IFERROR(__xludf.DUMMYFUNCTION("""COMPUTED_VALUE"""),4)</f>
        <v>4</v>
      </c>
      <c r="E74" s="3"/>
      <c r="F74" s="6"/>
      <c r="G74" s="3"/>
      <c r="H74" s="3"/>
      <c r="I74" s="3" t="str">
        <f ca="1">IFERROR(__xludf.DUMMYFUNCTION("""COMPUTED_VALUE"""),"Explore")</f>
        <v>Explore</v>
      </c>
      <c r="J74" s="3" t="str">
        <f ca="1">IFERROR(__xludf.DUMMYFUNCTION("""COMPUTED_VALUE"""),"Math")</f>
        <v>Math</v>
      </c>
      <c r="K74" s="3" t="str">
        <f ca="1">IFERROR(__xludf.DUMMYFUNCTION("""COMPUTED_VALUE"""),"HS multi-grade class")</f>
        <v>HS multi-grade class</v>
      </c>
      <c r="L74" s="3"/>
      <c r="M74" s="3"/>
      <c r="N74" s="3"/>
      <c r="O74" s="3"/>
      <c r="P74" s="3"/>
      <c r="Q74" s="3" t="str">
        <f ca="1">IFERROR(__xludf.DUMMYFUNCTION("""COMPUTED_VALUE"""),"North Academic Council as Library/Media/Department Chair")</f>
        <v>North Academic Council as Library/Media/Department Chair</v>
      </c>
      <c r="R74" s="3"/>
      <c r="S74" s="3"/>
      <c r="T74" s="3" t="str">
        <f ca="1">IFERROR(__xludf.DUMMYFUNCTION("""COMPUTED_VALUE"""),"Norman North")</f>
        <v>Norman North</v>
      </c>
      <c r="U74" s="3"/>
      <c r="V74" s="3"/>
      <c r="W74" s="3"/>
      <c r="X74" s="3"/>
      <c r="Y74" s="3"/>
      <c r="Z74" s="3"/>
      <c r="AA74" s="3"/>
      <c r="AB74" s="3"/>
      <c r="AC74" s="3"/>
    </row>
    <row r="75" spans="1:29" ht="13" x14ac:dyDescent="0.15">
      <c r="A75" s="2">
        <f ca="1">IFERROR(__xludf.DUMMYFUNCTION("""COMPUTED_VALUE"""),45628.4488159838)</f>
        <v>45628.4488159838</v>
      </c>
      <c r="B75" s="3" t="str">
        <f ca="1">IFERROR(__xludf.DUMMYFUNCTION("""COMPUTED_VALUE"""),"ksmith8@normanps.org")</f>
        <v>ksmith8@normanps.org</v>
      </c>
      <c r="C75" s="3"/>
      <c r="D75" s="3">
        <f ca="1">IFERROR(__xludf.DUMMYFUNCTION("""COMPUTED_VALUE"""),16)</f>
        <v>16</v>
      </c>
      <c r="E75" s="3"/>
      <c r="F75" s="6"/>
      <c r="G75" s="3"/>
      <c r="H75" s="3"/>
      <c r="I75" s="3" t="str">
        <f ca="1">IFERROR(__xludf.DUMMYFUNCTION("""COMPUTED_VALUE"""),"Engage")</f>
        <v>Engage</v>
      </c>
      <c r="J75" s="3" t="str">
        <f ca="1">IFERROR(__xludf.DUMMYFUNCTION("""COMPUTED_VALUE"""),"Social Studies")</f>
        <v>Social Studies</v>
      </c>
      <c r="K75" s="3" t="str">
        <f ca="1">IFERROR(__xludf.DUMMYFUNCTION("""COMPUTED_VALUE"""),"Tenth")</f>
        <v>Tenth</v>
      </c>
      <c r="L75" s="3"/>
      <c r="M75" s="3"/>
      <c r="N75" s="3"/>
      <c r="O75" s="3"/>
      <c r="P75" s="3"/>
      <c r="Q75" s="3" t="str">
        <f ca="1">IFERROR(__xludf.DUMMYFUNCTION("""COMPUTED_VALUE"""),"North New Teacher Meetings as North New Teacher Liaison")</f>
        <v>North New Teacher Meetings as North New Teacher Liaison</v>
      </c>
      <c r="R75" s="3"/>
      <c r="S75" s="3"/>
      <c r="T75" s="3" t="str">
        <f ca="1">IFERROR(__xludf.DUMMYFUNCTION("""COMPUTED_VALUE"""),"Norman North")</f>
        <v>Norman North</v>
      </c>
      <c r="U75" s="3"/>
      <c r="V75" s="3"/>
      <c r="W75" s="3"/>
      <c r="X75" s="3"/>
      <c r="Y75" s="3"/>
      <c r="Z75" s="3"/>
      <c r="AA75" s="3"/>
      <c r="AB75" s="3"/>
      <c r="AC75" s="3"/>
    </row>
    <row r="76" spans="1:29" ht="13" x14ac:dyDescent="0.15">
      <c r="A76" s="2">
        <f ca="1">IFERROR(__xludf.DUMMYFUNCTION("""COMPUTED_VALUE"""),45628.4493324305)</f>
        <v>45628.4493324305</v>
      </c>
      <c r="B76" s="3" t="str">
        <f ca="1">IFERROR(__xludf.DUMMYFUNCTION("""COMPUTED_VALUE"""),"ksmith8@normanps.org")</f>
        <v>ksmith8@normanps.org</v>
      </c>
      <c r="C76" s="3"/>
      <c r="D76" s="3">
        <f ca="1">IFERROR(__xludf.DUMMYFUNCTION("""COMPUTED_VALUE"""),1)</f>
        <v>1</v>
      </c>
      <c r="E76" s="3"/>
      <c r="F76" s="6"/>
      <c r="G76" s="3"/>
      <c r="H76" s="3"/>
      <c r="I76" s="3" t="str">
        <f ca="1">IFERROR(__xludf.DUMMYFUNCTION("""COMPUTED_VALUE"""),"Collaborate")</f>
        <v>Collaborate</v>
      </c>
      <c r="J76" s="3" t="str">
        <f ca="1">IFERROR(__xludf.DUMMYFUNCTION("""COMPUTED_VALUE"""),"Fine Arts (Debate, Acting, etc)")</f>
        <v>Fine Arts (Debate, Acting, etc)</v>
      </c>
      <c r="K76" s="3" t="str">
        <f ca="1">IFERROR(__xludf.DUMMYFUNCTION("""COMPUTED_VALUE"""),"HS multi-grade class")</f>
        <v>HS multi-grade class</v>
      </c>
      <c r="L76" s="3"/>
      <c r="M76" s="3"/>
      <c r="N76" s="3"/>
      <c r="O76" s="3"/>
      <c r="P76" s="3"/>
      <c r="Q76" s="3"/>
      <c r="R76" s="3"/>
      <c r="S76" s="3"/>
      <c r="T76" s="3" t="str">
        <f ca="1">IFERROR(__xludf.DUMMYFUNCTION("""COMPUTED_VALUE"""),"Norman North")</f>
        <v>Norman North</v>
      </c>
      <c r="U76" s="3"/>
      <c r="V76" s="3"/>
      <c r="W76" s="3"/>
      <c r="X76" s="3"/>
      <c r="Y76" s="3"/>
      <c r="Z76" s="3"/>
      <c r="AA76" s="3"/>
      <c r="AB76" s="3"/>
      <c r="AC76" s="3"/>
    </row>
    <row r="77" spans="1:29" ht="13" x14ac:dyDescent="0.15">
      <c r="A77" s="2">
        <f ca="1">IFERROR(__xludf.DUMMYFUNCTION("""COMPUTED_VALUE"""),45628.4496070717)</f>
        <v>45628.4496070717</v>
      </c>
      <c r="B77" s="3" t="str">
        <f ca="1">IFERROR(__xludf.DUMMYFUNCTION("""COMPUTED_VALUE"""),"ksmith8@normanps.org")</f>
        <v>ksmith8@normanps.org</v>
      </c>
      <c r="C77" s="3"/>
      <c r="D77" s="3">
        <f ca="1">IFERROR(__xludf.DUMMYFUNCTION("""COMPUTED_VALUE"""),1)</f>
        <v>1</v>
      </c>
      <c r="E77" s="3"/>
      <c r="F77" s="6"/>
      <c r="G77" s="3"/>
      <c r="H77" s="3"/>
      <c r="I77" s="3" t="str">
        <f ca="1">IFERROR(__xludf.DUMMYFUNCTION("""COMPUTED_VALUE"""),"Inquire")</f>
        <v>Inquire</v>
      </c>
      <c r="J77" s="3" t="str">
        <f ca="1">IFERROR(__xludf.DUMMYFUNCTION("""COMPUTED_VALUE"""),"Fine Arts (Debate, Acting, etc)")</f>
        <v>Fine Arts (Debate, Acting, etc)</v>
      </c>
      <c r="K77" s="3" t="str">
        <f ca="1">IFERROR(__xludf.DUMMYFUNCTION("""COMPUTED_VALUE"""),"HS multi-grade class")</f>
        <v>HS multi-grade class</v>
      </c>
      <c r="L77" s="3"/>
      <c r="M77" s="3"/>
      <c r="N77" s="3"/>
      <c r="O77" s="3"/>
      <c r="P77" s="3"/>
      <c r="Q77" s="3"/>
      <c r="R77" s="3"/>
      <c r="S77" s="3"/>
      <c r="T77" s="3" t="str">
        <f ca="1">IFERROR(__xludf.DUMMYFUNCTION("""COMPUTED_VALUE"""),"Norman North")</f>
        <v>Norman North</v>
      </c>
      <c r="U77" s="3"/>
      <c r="V77" s="3"/>
      <c r="W77" s="3"/>
      <c r="X77" s="3"/>
      <c r="Y77" s="3"/>
      <c r="Z77" s="3"/>
      <c r="AA77" s="3"/>
      <c r="AB77" s="3"/>
      <c r="AC77" s="3"/>
    </row>
    <row r="78" spans="1:29" ht="13" x14ac:dyDescent="0.15">
      <c r="A78" s="2">
        <f ca="1">IFERROR(__xludf.DUMMYFUNCTION("""COMPUTED_VALUE"""),45628.4500083217)</f>
        <v>45628.450008321699</v>
      </c>
      <c r="B78" s="3" t="str">
        <f ca="1">IFERROR(__xludf.DUMMYFUNCTION("""COMPUTED_VALUE"""),"ksmith8@normanps.org")</f>
        <v>ksmith8@normanps.org</v>
      </c>
      <c r="C78" s="3"/>
      <c r="D78" s="3">
        <f ca="1">IFERROR(__xludf.DUMMYFUNCTION("""COMPUTED_VALUE"""),5)</f>
        <v>5</v>
      </c>
      <c r="E78" s="3"/>
      <c r="F78" s="6"/>
      <c r="G78" s="3"/>
      <c r="H78" s="3"/>
      <c r="I78" s="3" t="str">
        <f ca="1">IFERROR(__xludf.DUMMYFUNCTION("""COMPUTED_VALUE"""),"Inquire")</f>
        <v>Inquire</v>
      </c>
      <c r="J78" s="3" t="str">
        <f ca="1">IFERROR(__xludf.DUMMYFUNCTION("""COMPUTED_VALUE"""),"ELA")</f>
        <v>ELA</v>
      </c>
      <c r="K78" s="3" t="str">
        <f ca="1">IFERROR(__xludf.DUMMYFUNCTION("""COMPUTED_VALUE"""),"Eleventh")</f>
        <v>Eleventh</v>
      </c>
      <c r="L78" s="3"/>
      <c r="M78" s="3"/>
      <c r="N78" s="3"/>
      <c r="O78" s="3"/>
      <c r="P78" s="3"/>
      <c r="Q78" s="3"/>
      <c r="R78" s="3"/>
      <c r="S78" s="3"/>
      <c r="T78" s="3" t="str">
        <f ca="1">IFERROR(__xludf.DUMMYFUNCTION("""COMPUTED_VALUE"""),"Norman North")</f>
        <v>Norman North</v>
      </c>
      <c r="U78" s="3"/>
      <c r="V78" s="3"/>
      <c r="W78" s="3"/>
      <c r="X78" s="3"/>
      <c r="Y78" s="3"/>
      <c r="Z78" s="3"/>
      <c r="AA78" s="3"/>
      <c r="AB78" s="3"/>
      <c r="AC78" s="3"/>
    </row>
    <row r="79" spans="1:29" ht="13" x14ac:dyDescent="0.15">
      <c r="A79" s="2">
        <f ca="1">IFERROR(__xludf.DUMMYFUNCTION("""COMPUTED_VALUE"""),45628.4505059143)</f>
        <v>45628.450505914298</v>
      </c>
      <c r="B79" s="3" t="str">
        <f ca="1">IFERROR(__xludf.DUMMYFUNCTION("""COMPUTED_VALUE"""),"ksmith8@normanps.org")</f>
        <v>ksmith8@normanps.org</v>
      </c>
      <c r="C79" s="3"/>
      <c r="D79" s="3">
        <f ca="1">IFERROR(__xludf.DUMMYFUNCTION("""COMPUTED_VALUE"""),2)</f>
        <v>2</v>
      </c>
      <c r="E79" s="3"/>
      <c r="F79" s="6"/>
      <c r="G79" s="3"/>
      <c r="H79" s="3"/>
      <c r="I79" s="3" t="str">
        <f ca="1">IFERROR(__xludf.DUMMYFUNCTION("""COMPUTED_VALUE"""),"Curate")</f>
        <v>Curate</v>
      </c>
      <c r="J79" s="3" t="str">
        <f ca="1">IFERROR(__xludf.DUMMYFUNCTION("""COMPUTED_VALUE"""),"ELA")</f>
        <v>ELA</v>
      </c>
      <c r="K79" s="3" t="str">
        <f ca="1">IFERROR(__xludf.DUMMYFUNCTION("""COMPUTED_VALUE"""),"Twelfth")</f>
        <v>Twelfth</v>
      </c>
      <c r="L79" s="3"/>
      <c r="M79" s="3"/>
      <c r="N79" s="3"/>
      <c r="O79" s="3"/>
      <c r="P79" s="3"/>
      <c r="Q79" s="3"/>
      <c r="R79" s="3"/>
      <c r="S79" s="3"/>
      <c r="T79" s="3" t="str">
        <f ca="1">IFERROR(__xludf.DUMMYFUNCTION("""COMPUTED_VALUE"""),"Norman North")</f>
        <v>Norman North</v>
      </c>
      <c r="U79" s="3"/>
      <c r="V79" s="3"/>
      <c r="W79" s="3"/>
      <c r="X79" s="3"/>
      <c r="Y79" s="3"/>
      <c r="Z79" s="3"/>
      <c r="AA79" s="3"/>
      <c r="AB79" s="3"/>
      <c r="AC79" s="3"/>
    </row>
    <row r="80" spans="1:29" ht="13" x14ac:dyDescent="0.15">
      <c r="A80" s="2">
        <f ca="1">IFERROR(__xludf.DUMMYFUNCTION("""COMPUTED_VALUE"""),45628.4522165972)</f>
        <v>45628.452216597201</v>
      </c>
      <c r="B80" s="3" t="str">
        <f ca="1">IFERROR(__xludf.DUMMYFUNCTION("""COMPUTED_VALUE"""),"ksmith8@normanps.org")</f>
        <v>ksmith8@normanps.org</v>
      </c>
      <c r="C80" s="3"/>
      <c r="D80" s="3">
        <f ca="1">IFERROR(__xludf.DUMMYFUNCTION("""COMPUTED_VALUE"""),1)</f>
        <v>1</v>
      </c>
      <c r="E80" s="3"/>
      <c r="F80" s="6"/>
      <c r="G80" s="3"/>
      <c r="H80" s="3"/>
      <c r="I80" s="3" t="str">
        <f ca="1">IFERROR(__xludf.DUMMYFUNCTION("""COMPUTED_VALUE"""),"Include")</f>
        <v>Include</v>
      </c>
      <c r="J80" s="3" t="str">
        <f ca="1">IFERROR(__xludf.DUMMYFUNCTION("""COMPUTED_VALUE"""),"Direct Instruction")</f>
        <v>Direct Instruction</v>
      </c>
      <c r="K80" s="3" t="str">
        <f ca="1">IFERROR(__xludf.DUMMYFUNCTION("""COMPUTED_VALUE"""),"Autism/SPED multi-level high school")</f>
        <v>Autism/SPED multi-level high school</v>
      </c>
      <c r="L80" s="3"/>
      <c r="M80" s="3"/>
      <c r="N80" s="3"/>
      <c r="O80" s="3"/>
      <c r="P80" s="3"/>
      <c r="Q80" s="3"/>
      <c r="R80" s="3"/>
      <c r="S80" s="3"/>
      <c r="T80" s="3" t="str">
        <f ca="1">IFERROR(__xludf.DUMMYFUNCTION("""COMPUTED_VALUE"""),"Norman North")</f>
        <v>Norman North</v>
      </c>
      <c r="U80" s="3"/>
      <c r="V80" s="3"/>
      <c r="W80" s="3"/>
      <c r="X80" s="3"/>
      <c r="Y80" s="3"/>
      <c r="Z80" s="3"/>
      <c r="AA80" s="3"/>
      <c r="AB80" s="3"/>
      <c r="AC80" s="3"/>
    </row>
    <row r="81" spans="1:29" ht="13" x14ac:dyDescent="0.15">
      <c r="A81" s="2">
        <f ca="1">IFERROR(__xludf.DUMMYFUNCTION("""COMPUTED_VALUE"""),45628.452749537)</f>
        <v>45628.452749536998</v>
      </c>
      <c r="B81" s="3" t="str">
        <f ca="1">IFERROR(__xludf.DUMMYFUNCTION("""COMPUTED_VALUE"""),"ksmith8@normanps.org")</f>
        <v>ksmith8@normanps.org</v>
      </c>
      <c r="C81" s="3"/>
      <c r="D81" s="3">
        <f ca="1">IFERROR(__xludf.DUMMYFUNCTION("""COMPUTED_VALUE"""),2)</f>
        <v>2</v>
      </c>
      <c r="E81" s="3"/>
      <c r="F81" s="6"/>
      <c r="G81" s="3"/>
      <c r="H81" s="3"/>
      <c r="I81" s="3" t="str">
        <f ca="1">IFERROR(__xludf.DUMMYFUNCTION("""COMPUTED_VALUE"""),"Collaborate")</f>
        <v>Collaborate</v>
      </c>
      <c r="J81" s="3" t="str">
        <f ca="1">IFERROR(__xludf.DUMMYFUNCTION("""COMPUTED_VALUE"""),"ELA")</f>
        <v>ELA</v>
      </c>
      <c r="K81" s="3" t="str">
        <f ca="1">IFERROR(__xludf.DUMMYFUNCTION("""COMPUTED_VALUE"""),"Tenth")</f>
        <v>Tenth</v>
      </c>
      <c r="L81" s="3"/>
      <c r="M81" s="3"/>
      <c r="N81" s="3"/>
      <c r="O81" s="3"/>
      <c r="P81" s="3"/>
      <c r="Q81" s="3"/>
      <c r="R81" s="3"/>
      <c r="S81" s="3"/>
      <c r="T81" s="3" t="str">
        <f ca="1">IFERROR(__xludf.DUMMYFUNCTION("""COMPUTED_VALUE"""),"Norman North")</f>
        <v>Norman North</v>
      </c>
      <c r="U81" s="3"/>
      <c r="V81" s="3"/>
      <c r="W81" s="3"/>
      <c r="X81" s="3"/>
      <c r="Y81" s="3"/>
      <c r="Z81" s="3"/>
      <c r="AA81" s="3"/>
      <c r="AB81" s="3"/>
      <c r="AC81" s="3"/>
    </row>
    <row r="82" spans="1:29" ht="13" x14ac:dyDescent="0.15">
      <c r="A82" s="2">
        <f ca="1">IFERROR(__xludf.DUMMYFUNCTION("""COMPUTED_VALUE"""),45628.453415787)</f>
        <v>45628.453415787</v>
      </c>
      <c r="B82" s="3" t="str">
        <f ca="1">IFERROR(__xludf.DUMMYFUNCTION("""COMPUTED_VALUE"""),"ksmith8@normanps.org")</f>
        <v>ksmith8@normanps.org</v>
      </c>
      <c r="C82" s="3"/>
      <c r="D82" s="3">
        <f ca="1">IFERROR(__xludf.DUMMYFUNCTION("""COMPUTED_VALUE"""),1)</f>
        <v>1</v>
      </c>
      <c r="E82" s="3"/>
      <c r="F82" s="6"/>
      <c r="G82" s="3"/>
      <c r="H82" s="3"/>
      <c r="I82" s="3" t="str">
        <f ca="1">IFERROR(__xludf.DUMMYFUNCTION("""COMPUTED_VALUE"""),"Engage")</f>
        <v>Engage</v>
      </c>
      <c r="J82" s="3" t="str">
        <f ca="1">IFERROR(__xludf.DUMMYFUNCTION("""COMPUTED_VALUE"""),"EL")</f>
        <v>EL</v>
      </c>
      <c r="K82" s="3" t="str">
        <f ca="1">IFERROR(__xludf.DUMMYFUNCTION("""COMPUTED_VALUE"""),"HS multi-grade class")</f>
        <v>HS multi-grade class</v>
      </c>
      <c r="L82" s="3"/>
      <c r="M82" s="3"/>
      <c r="N82" s="3"/>
      <c r="O82" s="3"/>
      <c r="P82" s="3"/>
      <c r="Q82" s="3"/>
      <c r="R82" s="3"/>
      <c r="S82" s="3"/>
      <c r="T82" s="3" t="str">
        <f ca="1">IFERROR(__xludf.DUMMYFUNCTION("""COMPUTED_VALUE"""),"Norman North")</f>
        <v>Norman North</v>
      </c>
      <c r="U82" s="3"/>
      <c r="V82" s="3"/>
      <c r="W82" s="3"/>
      <c r="X82" s="3"/>
      <c r="Y82" s="3"/>
      <c r="Z82" s="3"/>
      <c r="AA82" s="3"/>
      <c r="AB82" s="3"/>
      <c r="AC82" s="3"/>
    </row>
    <row r="83" spans="1:29" ht="13" x14ac:dyDescent="0.15">
      <c r="A83" s="2">
        <f ca="1">IFERROR(__xludf.DUMMYFUNCTION("""COMPUTED_VALUE"""),45628.4540586226)</f>
        <v>45628.454058622599</v>
      </c>
      <c r="B83" s="3" t="str">
        <f ca="1">IFERROR(__xludf.DUMMYFUNCTION("""COMPUTED_VALUE"""),"ksmith8@normanps.org")</f>
        <v>ksmith8@normanps.org</v>
      </c>
      <c r="C83" s="3"/>
      <c r="D83" s="3">
        <f ca="1">IFERROR(__xludf.DUMMYFUNCTION("""COMPUTED_VALUE"""),49)</f>
        <v>49</v>
      </c>
      <c r="E83" s="3"/>
      <c r="F83" s="6"/>
      <c r="G83" s="3"/>
      <c r="H83" s="3"/>
      <c r="I83" s="3" t="str">
        <f ca="1">IFERROR(__xludf.DUMMYFUNCTION("""COMPUTED_VALUE"""),"Inquire")</f>
        <v>Inquire</v>
      </c>
      <c r="J83" s="3" t="str">
        <f ca="1">IFERROR(__xludf.DUMMYFUNCTION("""COMPUTED_VALUE"""),"ELA")</f>
        <v>ELA</v>
      </c>
      <c r="K83" s="3" t="str">
        <f ca="1">IFERROR(__xludf.DUMMYFUNCTION("""COMPUTED_VALUE"""),"Tenth")</f>
        <v>Tenth</v>
      </c>
      <c r="L83" s="3"/>
      <c r="M83" s="3"/>
      <c r="N83" s="3"/>
      <c r="O83" s="3"/>
      <c r="P83" s="3"/>
      <c r="Q83" s="3"/>
      <c r="R83" s="3"/>
      <c r="S83" s="3"/>
      <c r="T83" s="3" t="str">
        <f ca="1">IFERROR(__xludf.DUMMYFUNCTION("""COMPUTED_VALUE"""),"Norman North")</f>
        <v>Norman North</v>
      </c>
      <c r="U83" s="3"/>
      <c r="V83" s="3"/>
      <c r="W83" s="3"/>
      <c r="X83" s="3"/>
      <c r="Y83" s="3"/>
      <c r="Z83" s="3"/>
      <c r="AA83" s="3"/>
      <c r="AB83" s="3"/>
      <c r="AC83" s="3"/>
    </row>
    <row r="84" spans="1:29" ht="13" x14ac:dyDescent="0.15">
      <c r="A84" s="2">
        <f ca="1">IFERROR(__xludf.DUMMYFUNCTION("""COMPUTED_VALUE"""),45628.4548221064)</f>
        <v>45628.454822106403</v>
      </c>
      <c r="B84" s="3" t="str">
        <f ca="1">IFERROR(__xludf.DUMMYFUNCTION("""COMPUTED_VALUE"""),"ksmith8@normanps.org")</f>
        <v>ksmith8@normanps.org</v>
      </c>
      <c r="C84" s="3"/>
      <c r="D84" s="3">
        <f ca="1">IFERROR(__xludf.DUMMYFUNCTION("""COMPUTED_VALUE"""),12)</f>
        <v>12</v>
      </c>
      <c r="E84" s="3"/>
      <c r="F84" s="6"/>
      <c r="G84" s="3"/>
      <c r="H84" s="3"/>
      <c r="I84" s="3" t="str">
        <f ca="1">IFERROR(__xludf.DUMMYFUNCTION("""COMPUTED_VALUE"""),"Inquire")</f>
        <v>Inquire</v>
      </c>
      <c r="J84" s="3" t="str">
        <f ca="1">IFERROR(__xludf.DUMMYFUNCTION("""COMPUTED_VALUE"""),"Social Studies")</f>
        <v>Social Studies</v>
      </c>
      <c r="K84" s="3" t="str">
        <f ca="1">IFERROR(__xludf.DUMMYFUNCTION("""COMPUTED_VALUE"""),"HS multi-grade class")</f>
        <v>HS multi-grade class</v>
      </c>
      <c r="L84" s="3"/>
      <c r="M84" s="3"/>
      <c r="N84" s="3"/>
      <c r="O84" s="3"/>
      <c r="P84" s="3"/>
      <c r="Q84" s="3"/>
      <c r="R84" s="3"/>
      <c r="S84" s="3"/>
      <c r="T84" s="3" t="str">
        <f ca="1">IFERROR(__xludf.DUMMYFUNCTION("""COMPUTED_VALUE"""),"Norman North")</f>
        <v>Norman North</v>
      </c>
      <c r="U84" s="3"/>
      <c r="V84" s="3"/>
      <c r="W84" s="3"/>
      <c r="X84" s="3"/>
      <c r="Y84" s="3"/>
      <c r="Z84" s="3"/>
      <c r="AA84" s="3"/>
      <c r="AB84" s="3"/>
      <c r="AC84" s="3"/>
    </row>
    <row r="85" spans="1:29" ht="13" x14ac:dyDescent="0.15">
      <c r="A85" s="2">
        <f ca="1">IFERROR(__xludf.DUMMYFUNCTION("""COMPUTED_VALUE"""),45628.4552154513)</f>
        <v>45628.4552154513</v>
      </c>
      <c r="B85" s="3" t="str">
        <f ca="1">IFERROR(__xludf.DUMMYFUNCTION("""COMPUTED_VALUE"""),"ksmith8@normanps.org")</f>
        <v>ksmith8@normanps.org</v>
      </c>
      <c r="C85" s="3"/>
      <c r="D85" s="3">
        <f ca="1">IFERROR(__xludf.DUMMYFUNCTION("""COMPUTED_VALUE"""),10)</f>
        <v>10</v>
      </c>
      <c r="E85" s="3"/>
      <c r="F85" s="6"/>
      <c r="G85" s="3"/>
      <c r="H85" s="3"/>
      <c r="I85" s="3" t="str">
        <f ca="1">IFERROR(__xludf.DUMMYFUNCTION("""COMPUTED_VALUE"""),"Inquire")</f>
        <v>Inquire</v>
      </c>
      <c r="J85" s="3" t="str">
        <f ca="1">IFERROR(__xludf.DUMMYFUNCTION("""COMPUTED_VALUE"""),"Social Studies")</f>
        <v>Social Studies</v>
      </c>
      <c r="K85" s="3" t="str">
        <f ca="1">IFERROR(__xludf.DUMMYFUNCTION("""COMPUTED_VALUE"""),"Ninth")</f>
        <v>Ninth</v>
      </c>
      <c r="L85" s="3"/>
      <c r="M85" s="3"/>
      <c r="N85" s="3"/>
      <c r="O85" s="3"/>
      <c r="P85" s="3"/>
      <c r="Q85" s="3"/>
      <c r="R85" s="3"/>
      <c r="S85" s="3"/>
      <c r="T85" s="3" t="str">
        <f ca="1">IFERROR(__xludf.DUMMYFUNCTION("""COMPUTED_VALUE"""),"Norman North")</f>
        <v>Norman North</v>
      </c>
      <c r="U85" s="3"/>
      <c r="V85" s="3"/>
      <c r="W85" s="3"/>
      <c r="X85" s="3"/>
      <c r="Y85" s="3"/>
      <c r="Z85" s="3"/>
      <c r="AA85" s="3"/>
      <c r="AB85" s="3"/>
      <c r="AC85" s="3"/>
    </row>
    <row r="86" spans="1:29" ht="13" x14ac:dyDescent="0.15">
      <c r="A86" s="2">
        <f ca="1">IFERROR(__xludf.DUMMYFUNCTION("""COMPUTED_VALUE"""),45628.4555287268)</f>
        <v>45628.455528726801</v>
      </c>
      <c r="B86" s="3" t="str">
        <f ca="1">IFERROR(__xludf.DUMMYFUNCTION("""COMPUTED_VALUE"""),"ksmith8@normanps.org")</f>
        <v>ksmith8@normanps.org</v>
      </c>
      <c r="C86" s="3"/>
      <c r="D86" s="3">
        <f ca="1">IFERROR(__xludf.DUMMYFUNCTION("""COMPUTED_VALUE"""),5)</f>
        <v>5</v>
      </c>
      <c r="E86" s="3"/>
      <c r="F86" s="6"/>
      <c r="G86" s="3"/>
      <c r="H86" s="3"/>
      <c r="I86" s="3" t="str">
        <f ca="1">IFERROR(__xludf.DUMMYFUNCTION("""COMPUTED_VALUE"""),"Inquire")</f>
        <v>Inquire</v>
      </c>
      <c r="J86" s="3" t="str">
        <f ca="1">IFERROR(__xludf.DUMMYFUNCTION("""COMPUTED_VALUE"""),"Science")</f>
        <v>Science</v>
      </c>
      <c r="K86" s="3" t="str">
        <f ca="1">IFERROR(__xludf.DUMMYFUNCTION("""COMPUTED_VALUE"""),"Ninth")</f>
        <v>Ninth</v>
      </c>
      <c r="L86" s="3"/>
      <c r="M86" s="3"/>
      <c r="N86" s="3"/>
      <c r="O86" s="3"/>
      <c r="P86" s="3"/>
      <c r="Q86" s="3"/>
      <c r="R86" s="3"/>
      <c r="S86" s="3"/>
      <c r="T86" s="3" t="str">
        <f ca="1">IFERROR(__xludf.DUMMYFUNCTION("""COMPUTED_VALUE"""),"Norman North")</f>
        <v>Norman North</v>
      </c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15">
      <c r="A87" s="2">
        <f ca="1">IFERROR(__xludf.DUMMYFUNCTION("""COMPUTED_VALUE"""),45642.5015912384)</f>
        <v>45642.501591238397</v>
      </c>
      <c r="B87" s="3" t="str">
        <f ca="1">IFERROR(__xludf.DUMMYFUNCTION("""COMPUTED_VALUE"""),"ksmith8@normanps.org")</f>
        <v>ksmith8@normanps.org</v>
      </c>
      <c r="C87" s="3"/>
      <c r="D87" s="3">
        <f ca="1">IFERROR(__xludf.DUMMYFUNCTION("""COMPUTED_VALUE"""),4)</f>
        <v>4</v>
      </c>
      <c r="E87" s="3"/>
      <c r="F87" s="6"/>
      <c r="G87" s="3">
        <f ca="1">IFERROR(__xludf.DUMMYFUNCTION("""COMPUTED_VALUE"""),10)</f>
        <v>10</v>
      </c>
      <c r="H87" s="3"/>
      <c r="I87" s="3" t="str">
        <f ca="1">IFERROR(__xludf.DUMMYFUNCTION("""COMPUTED_VALUE"""),"Collaborate")</f>
        <v>Collaborate</v>
      </c>
      <c r="J87" s="3"/>
      <c r="K87" s="3" t="str">
        <f ca="1">IFERROR(__xludf.DUMMYFUNCTION("""COMPUTED_VALUE"""),"Ninth")</f>
        <v>Ninth</v>
      </c>
      <c r="L87" s="3"/>
      <c r="M87" s="3"/>
      <c r="N87" s="3"/>
      <c r="O87" s="3"/>
      <c r="P87" s="3" t="str">
        <f ca="1">IFERROR(__xludf.DUMMYFUNCTION("""COMPUTED_VALUE"""),"Pioneer Library System Norman Public Library West")</f>
        <v>Pioneer Library System Norman Public Library West</v>
      </c>
      <c r="Q87" s="3" t="str">
        <f ca="1">IFERROR(__xludf.DUMMYFUNCTION("""COMPUTED_VALUE"""),"OKSL Leadership Meeting as Past Chair")</f>
        <v>OKSL Leadership Meeting as Past Chair</v>
      </c>
      <c r="R87" s="3"/>
      <c r="S87" s="3"/>
      <c r="T87" s="3" t="str">
        <f ca="1">IFERROR(__xludf.DUMMYFUNCTION("""COMPUTED_VALUE"""),"Norman North")</f>
        <v>Norman North</v>
      </c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15">
      <c r="A88" s="2">
        <f ca="1">IFERROR(__xludf.DUMMYFUNCTION("""COMPUTED_VALUE"""),45642.5024775347)</f>
        <v>45642.502477534697</v>
      </c>
      <c r="B88" s="3" t="str">
        <f ca="1">IFERROR(__xludf.DUMMYFUNCTION("""COMPUTED_VALUE"""),"ksmith8@normanps.org")</f>
        <v>ksmith8@normanps.org</v>
      </c>
      <c r="C88" s="3"/>
      <c r="D88" s="3">
        <f ca="1">IFERROR(__xludf.DUMMYFUNCTION("""COMPUTED_VALUE"""),5)</f>
        <v>5</v>
      </c>
      <c r="E88" s="3"/>
      <c r="F88" s="6"/>
      <c r="G88" s="3"/>
      <c r="H88" s="3"/>
      <c r="I88" s="3" t="str">
        <f ca="1">IFERROR(__xludf.DUMMYFUNCTION("""COMPUTED_VALUE"""),"Inquire")</f>
        <v>Inquire</v>
      </c>
      <c r="J88" s="3" t="str">
        <f ca="1">IFERROR(__xludf.DUMMYFUNCTION("""COMPUTED_VALUE"""),"Science")</f>
        <v>Science</v>
      </c>
      <c r="K88" s="3" t="str">
        <f ca="1">IFERROR(__xludf.DUMMYFUNCTION("""COMPUTED_VALUE"""),"Ninth")</f>
        <v>Ninth</v>
      </c>
      <c r="L88" s="3"/>
      <c r="M88" s="3"/>
      <c r="N88" s="3"/>
      <c r="O88" s="3"/>
      <c r="P88" s="3"/>
      <c r="Q88" s="3" t="str">
        <f ca="1">IFERROR(__xludf.DUMMYFUNCTION("""COMPUTED_VALUE"""),"North Academic Council as Library/Media/Department Chair")</f>
        <v>North Academic Council as Library/Media/Department Chair</v>
      </c>
      <c r="R88" s="3"/>
      <c r="S88" s="3"/>
      <c r="T88" s="3" t="str">
        <f ca="1">IFERROR(__xludf.DUMMYFUNCTION("""COMPUTED_VALUE"""),"Norman North")</f>
        <v>Norman North</v>
      </c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15">
      <c r="A89" s="2">
        <f ca="1">IFERROR(__xludf.DUMMYFUNCTION("""COMPUTED_VALUE"""),45642.5030490856)</f>
        <v>45642.503049085601</v>
      </c>
      <c r="B89" s="3" t="str">
        <f ca="1">IFERROR(__xludf.DUMMYFUNCTION("""COMPUTED_VALUE"""),"ksmith8@normanps.org")</f>
        <v>ksmith8@normanps.org</v>
      </c>
      <c r="C89" s="3"/>
      <c r="D89" s="3">
        <f ca="1">IFERROR(__xludf.DUMMYFUNCTION("""COMPUTED_VALUE"""),20)</f>
        <v>20</v>
      </c>
      <c r="E89" s="3"/>
      <c r="F89" s="6"/>
      <c r="G89" s="3"/>
      <c r="H89" s="3"/>
      <c r="I89" s="3" t="str">
        <f ca="1">IFERROR(__xludf.DUMMYFUNCTION("""COMPUTED_VALUE"""),"Explore")</f>
        <v>Explore</v>
      </c>
      <c r="J89" s="3" t="str">
        <f ca="1">IFERROR(__xludf.DUMMYFUNCTION("""COMPUTED_VALUE"""),"Math")</f>
        <v>Math</v>
      </c>
      <c r="K89" s="3" t="str">
        <f ca="1">IFERROR(__xludf.DUMMYFUNCTION("""COMPUTED_VALUE"""),"Ninth")</f>
        <v>Ninth</v>
      </c>
      <c r="L89" s="3"/>
      <c r="M89" s="3"/>
      <c r="N89" s="3"/>
      <c r="O89" s="3"/>
      <c r="P89" s="3"/>
      <c r="Q89" s="3" t="str">
        <f ca="1">IFERROR(__xludf.DUMMYFUNCTION("""COMPUTED_VALUE"""),"North New Teacher Meetings as North New Teacher Liaison")</f>
        <v>North New Teacher Meetings as North New Teacher Liaison</v>
      </c>
      <c r="R89" s="3"/>
      <c r="S89" s="3"/>
      <c r="T89" s="3" t="str">
        <f ca="1">IFERROR(__xludf.DUMMYFUNCTION("""COMPUTED_VALUE"""),"Norman North")</f>
        <v>Norman North</v>
      </c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15">
      <c r="A90" s="2">
        <f ca="1">IFERROR(__xludf.DUMMYFUNCTION("""COMPUTED_VALUE"""),45642.5037526157)</f>
        <v>45642.503752615703</v>
      </c>
      <c r="B90" s="3" t="str">
        <f ca="1">IFERROR(__xludf.DUMMYFUNCTION("""COMPUTED_VALUE"""),"ksmith8@normanps.org")</f>
        <v>ksmith8@normanps.org</v>
      </c>
      <c r="C90" s="3"/>
      <c r="D90" s="3">
        <f ca="1">IFERROR(__xludf.DUMMYFUNCTION("""COMPUTED_VALUE"""),8)</f>
        <v>8</v>
      </c>
      <c r="E90" s="3"/>
      <c r="F90" s="6"/>
      <c r="G90" s="3"/>
      <c r="H90" s="3"/>
      <c r="I90" s="3" t="str">
        <f ca="1">IFERROR(__xludf.DUMMYFUNCTION("""COMPUTED_VALUE"""),"Inquire")</f>
        <v>Inquire</v>
      </c>
      <c r="J90" s="3" t="str">
        <f ca="1">IFERROR(__xludf.DUMMYFUNCTION("""COMPUTED_VALUE"""),"Social Studies")</f>
        <v>Social Studies</v>
      </c>
      <c r="K90" s="3" t="str">
        <f ca="1">IFERROR(__xludf.DUMMYFUNCTION("""COMPUTED_VALUE"""),"Ninth")</f>
        <v>Ninth</v>
      </c>
      <c r="L90" s="3"/>
      <c r="M90" s="3"/>
      <c r="N90" s="3"/>
      <c r="O90" s="3"/>
      <c r="P90" s="3"/>
      <c r="Q90" s="3"/>
      <c r="R90" s="3"/>
      <c r="S90" s="3"/>
      <c r="T90" s="3" t="str">
        <f ca="1">IFERROR(__xludf.DUMMYFUNCTION("""COMPUTED_VALUE"""),"Norman North")</f>
        <v>Norman North</v>
      </c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15">
      <c r="A91" s="2">
        <f ca="1">IFERROR(__xludf.DUMMYFUNCTION("""COMPUTED_VALUE"""),45642.5043169791)</f>
        <v>45642.504316979102</v>
      </c>
      <c r="B91" s="3" t="str">
        <f ca="1">IFERROR(__xludf.DUMMYFUNCTION("""COMPUTED_VALUE"""),"ksmith8@normanps.org")</f>
        <v>ksmith8@normanps.org</v>
      </c>
      <c r="C91" s="3"/>
      <c r="D91" s="3">
        <f ca="1">IFERROR(__xludf.DUMMYFUNCTION("""COMPUTED_VALUE"""),3)</f>
        <v>3</v>
      </c>
      <c r="E91" s="3"/>
      <c r="F91" s="6"/>
      <c r="G91" s="3"/>
      <c r="H91" s="3"/>
      <c r="I91" s="3" t="str">
        <f ca="1">IFERROR(__xludf.DUMMYFUNCTION("""COMPUTED_VALUE"""),"Curate")</f>
        <v>Curate</v>
      </c>
      <c r="J91" s="3" t="str">
        <f ca="1">IFERROR(__xludf.DUMMYFUNCTION("""COMPUTED_VALUE"""),"Fine Arts (Debate, Acting, etc)")</f>
        <v>Fine Arts (Debate, Acting, etc)</v>
      </c>
      <c r="K91" s="3" t="str">
        <f ca="1">IFERROR(__xludf.DUMMYFUNCTION("""COMPUTED_VALUE"""),"HS multi-grade class")</f>
        <v>HS multi-grade class</v>
      </c>
      <c r="L91" s="3"/>
      <c r="M91" s="3"/>
      <c r="N91" s="3"/>
      <c r="O91" s="3"/>
      <c r="P91" s="3"/>
      <c r="Q91" s="3"/>
      <c r="R91" s="3"/>
      <c r="S91" s="3"/>
      <c r="T91" s="3" t="str">
        <f ca="1">IFERROR(__xludf.DUMMYFUNCTION("""COMPUTED_VALUE"""),"Norman North")</f>
        <v>Norman North</v>
      </c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15">
      <c r="A92" s="2">
        <f ca="1">IFERROR(__xludf.DUMMYFUNCTION("""COMPUTED_VALUE"""),45642.5464559375)</f>
        <v>45642.546455937503</v>
      </c>
      <c r="B92" s="3" t="str">
        <f ca="1">IFERROR(__xludf.DUMMYFUNCTION("""COMPUTED_VALUE"""),"ksmith8@normanps.org")</f>
        <v>ksmith8@normanps.org</v>
      </c>
      <c r="C92" s="3"/>
      <c r="D92" s="3">
        <f ca="1">IFERROR(__xludf.DUMMYFUNCTION("""COMPUTED_VALUE"""),2)</f>
        <v>2</v>
      </c>
      <c r="E92" s="3"/>
      <c r="F92" s="6"/>
      <c r="G92" s="3"/>
      <c r="H92" s="3"/>
      <c r="I92" s="3" t="str">
        <f ca="1">IFERROR(__xludf.DUMMYFUNCTION("""COMPUTED_VALUE"""),"Inquire")</f>
        <v>Inquire</v>
      </c>
      <c r="J92" s="3" t="str">
        <f ca="1">IFERROR(__xludf.DUMMYFUNCTION("""COMPUTED_VALUE"""),"Fine Arts (Debate, Acting, etc)")</f>
        <v>Fine Arts (Debate, Acting, etc)</v>
      </c>
      <c r="K92" s="3" t="str">
        <f ca="1">IFERROR(__xludf.DUMMYFUNCTION("""COMPUTED_VALUE"""),"HS multi-grade class")</f>
        <v>HS multi-grade class</v>
      </c>
      <c r="L92" s="3"/>
      <c r="M92" s="3"/>
      <c r="N92" s="3"/>
      <c r="O92" s="3"/>
      <c r="P92" s="3"/>
      <c r="Q92" s="3"/>
      <c r="R92" s="3"/>
      <c r="S92" s="3"/>
      <c r="T92" s="3" t="str">
        <f ca="1">IFERROR(__xludf.DUMMYFUNCTION("""COMPUTED_VALUE"""),"Norman North")</f>
        <v>Norman North</v>
      </c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15">
      <c r="A93" s="2">
        <f ca="1">IFERROR(__xludf.DUMMYFUNCTION("""COMPUTED_VALUE"""),45642.593003206)</f>
        <v>45642.593003205999</v>
      </c>
      <c r="B93" s="3" t="str">
        <f ca="1">IFERROR(__xludf.DUMMYFUNCTION("""COMPUTED_VALUE"""),"ksmith8@normanps.org")</f>
        <v>ksmith8@normanps.org</v>
      </c>
      <c r="C93" s="3"/>
      <c r="D93" s="3">
        <f ca="1">IFERROR(__xludf.DUMMYFUNCTION("""COMPUTED_VALUE"""),4)</f>
        <v>4</v>
      </c>
      <c r="E93" s="3"/>
      <c r="F93" s="6"/>
      <c r="G93" s="3"/>
      <c r="H93" s="3"/>
      <c r="I93" s="3" t="str">
        <f ca="1">IFERROR(__xludf.DUMMYFUNCTION("""COMPUTED_VALUE"""),"Inquire")</f>
        <v>Inquire</v>
      </c>
      <c r="J93" s="3" t="str">
        <f ca="1">IFERROR(__xludf.DUMMYFUNCTION("""COMPUTED_VALUE"""),"Social Studies")</f>
        <v>Social Studies</v>
      </c>
      <c r="K93" s="3" t="str">
        <f ca="1">IFERROR(__xludf.DUMMYFUNCTION("""COMPUTED_VALUE"""),"HS multi-grade class")</f>
        <v>HS multi-grade class</v>
      </c>
      <c r="L93" s="3"/>
      <c r="M93" s="3"/>
      <c r="N93" s="3"/>
      <c r="O93" s="3"/>
      <c r="P93" s="3"/>
      <c r="Q93" s="3"/>
      <c r="R93" s="3"/>
      <c r="S93" s="3"/>
      <c r="T93" s="3" t="str">
        <f ca="1">IFERROR(__xludf.DUMMYFUNCTION("""COMPUTED_VALUE"""),"Norman North")</f>
        <v>Norman North</v>
      </c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15">
      <c r="A94" s="2">
        <f ca="1">IFERROR(__xludf.DUMMYFUNCTION("""COMPUTED_VALUE"""),45642.5933307291)</f>
        <v>45642.593330729098</v>
      </c>
      <c r="B94" s="3" t="str">
        <f ca="1">IFERROR(__xludf.DUMMYFUNCTION("""COMPUTED_VALUE"""),"ksmith8@normanps.org")</f>
        <v>ksmith8@normanps.org</v>
      </c>
      <c r="C94" s="3"/>
      <c r="D94" s="3">
        <f ca="1">IFERROR(__xludf.DUMMYFUNCTION("""COMPUTED_VALUE"""),5)</f>
        <v>5</v>
      </c>
      <c r="E94" s="3"/>
      <c r="F94" s="6"/>
      <c r="G94" s="3"/>
      <c r="H94" s="3"/>
      <c r="I94" s="3" t="str">
        <f ca="1">IFERROR(__xludf.DUMMYFUNCTION("""COMPUTED_VALUE"""),"Inquire")</f>
        <v>Inquire</v>
      </c>
      <c r="J94" s="3" t="str">
        <f ca="1">IFERROR(__xludf.DUMMYFUNCTION("""COMPUTED_VALUE"""),"Social Studies")</f>
        <v>Social Studies</v>
      </c>
      <c r="K94" s="3" t="str">
        <f ca="1">IFERROR(__xludf.DUMMYFUNCTION("""COMPUTED_VALUE"""),"HS multi-grade class")</f>
        <v>HS multi-grade class</v>
      </c>
      <c r="L94" s="3"/>
      <c r="M94" s="3"/>
      <c r="N94" s="3"/>
      <c r="O94" s="3"/>
      <c r="P94" s="3"/>
      <c r="Q94" s="3"/>
      <c r="R94" s="3"/>
      <c r="S94" s="3"/>
      <c r="T94" s="3" t="str">
        <f ca="1">IFERROR(__xludf.DUMMYFUNCTION("""COMPUTED_VALUE"""),"Norman North")</f>
        <v>Norman North</v>
      </c>
      <c r="U94" s="3"/>
      <c r="V94" s="3"/>
      <c r="W94" s="3"/>
      <c r="X94" s="3"/>
      <c r="Y94" s="3"/>
      <c r="Z94" s="3"/>
      <c r="AA94" s="3"/>
      <c r="AB94" s="3"/>
      <c r="AC94" s="3"/>
    </row>
    <row r="95" spans="1:29" ht="13" x14ac:dyDescent="0.15">
      <c r="A95" s="2">
        <f ca="1">IFERROR(__xludf.DUMMYFUNCTION("""COMPUTED_VALUE"""),45642.5945554398)</f>
        <v>45642.594555439799</v>
      </c>
      <c r="B95" s="3" t="str">
        <f ca="1">IFERROR(__xludf.DUMMYFUNCTION("""COMPUTED_VALUE"""),"ksmith8@normanps.org")</f>
        <v>ksmith8@normanps.org</v>
      </c>
      <c r="C95" s="3"/>
      <c r="D95" s="3">
        <f ca="1">IFERROR(__xludf.DUMMYFUNCTION("""COMPUTED_VALUE"""),4)</f>
        <v>4</v>
      </c>
      <c r="E95" s="3"/>
      <c r="F95" s="6"/>
      <c r="G95" s="3"/>
      <c r="H95" s="3"/>
      <c r="I95" s="3" t="str">
        <f ca="1">IFERROR(__xludf.DUMMYFUNCTION("""COMPUTED_VALUE"""),"Include")</f>
        <v>Include</v>
      </c>
      <c r="J95" s="3" t="str">
        <f ca="1">IFERROR(__xludf.DUMMYFUNCTION("""COMPUTED_VALUE"""),"Social Studies")</f>
        <v>Social Studies</v>
      </c>
      <c r="K95" s="3" t="str">
        <f ca="1">IFERROR(__xludf.DUMMYFUNCTION("""COMPUTED_VALUE"""),"HS multi-grade class")</f>
        <v>HS multi-grade class</v>
      </c>
      <c r="L95" s="3"/>
      <c r="M95" s="3"/>
      <c r="N95" s="3"/>
      <c r="O95" s="3"/>
      <c r="P95" s="3"/>
      <c r="Q95" s="3"/>
      <c r="R95" s="3"/>
      <c r="S95" s="3"/>
      <c r="T95" s="3" t="str">
        <f ca="1">IFERROR(__xludf.DUMMYFUNCTION("""COMPUTED_VALUE"""),"Norman North")</f>
        <v>Norman North</v>
      </c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15">
      <c r="A96" s="2">
        <f ca="1">IFERROR(__xludf.DUMMYFUNCTION("""COMPUTED_VALUE"""),45642.5968290509)</f>
        <v>45642.596829050897</v>
      </c>
      <c r="B96" s="3" t="str">
        <f ca="1">IFERROR(__xludf.DUMMYFUNCTION("""COMPUTED_VALUE"""),"ksmith8@normanps.org")</f>
        <v>ksmith8@normanps.org</v>
      </c>
      <c r="C96" s="3"/>
      <c r="D96" s="3">
        <f ca="1">IFERROR(__xludf.DUMMYFUNCTION("""COMPUTED_VALUE"""),1)</f>
        <v>1</v>
      </c>
      <c r="E96" s="3"/>
      <c r="F96" s="6"/>
      <c r="G96" s="3"/>
      <c r="H96" s="3"/>
      <c r="I96" s="3" t="str">
        <f ca="1">IFERROR(__xludf.DUMMYFUNCTION("""COMPUTED_VALUE"""),"Include")</f>
        <v>Include</v>
      </c>
      <c r="J96" s="3" t="str">
        <f ca="1">IFERROR(__xludf.DUMMYFUNCTION("""COMPUTED_VALUE"""),"Direct Instruction")</f>
        <v>Direct Instruction</v>
      </c>
      <c r="K96" s="3" t="str">
        <f ca="1">IFERROR(__xludf.DUMMYFUNCTION("""COMPUTED_VALUE"""),"Autism/SPED multi-level high school")</f>
        <v>Autism/SPED multi-level high school</v>
      </c>
      <c r="L96" s="3"/>
      <c r="M96" s="3"/>
      <c r="N96" s="3"/>
      <c r="O96" s="3"/>
      <c r="P96" s="3"/>
      <c r="Q96" s="3"/>
      <c r="R96" s="3"/>
      <c r="S96" s="3"/>
      <c r="T96" s="3" t="str">
        <f ca="1">IFERROR(__xludf.DUMMYFUNCTION("""COMPUTED_VALUE"""),"Norman North")</f>
        <v>Norman North</v>
      </c>
      <c r="U96" s="3"/>
      <c r="V96" s="3"/>
      <c r="W96" s="3"/>
      <c r="X96" s="3"/>
      <c r="Y96" s="3"/>
      <c r="Z96" s="3"/>
      <c r="AA96" s="3"/>
      <c r="AB96" s="3"/>
      <c r="AC96" s="3"/>
    </row>
    <row r="97" spans="1:29" ht="13" x14ac:dyDescent="0.15">
      <c r="A97" s="2">
        <f ca="1">IFERROR(__xludf.DUMMYFUNCTION("""COMPUTED_VALUE"""),45642.5972542592)</f>
        <v>45642.597254259199</v>
      </c>
      <c r="B97" s="3" t="str">
        <f ca="1">IFERROR(__xludf.DUMMYFUNCTION("""COMPUTED_VALUE"""),"ksmith8@normanps.org")</f>
        <v>ksmith8@normanps.org</v>
      </c>
      <c r="C97" s="3"/>
      <c r="D97" s="3">
        <f ca="1">IFERROR(__xludf.DUMMYFUNCTION("""COMPUTED_VALUE"""),2)</f>
        <v>2</v>
      </c>
      <c r="E97" s="3"/>
      <c r="F97" s="6"/>
      <c r="G97" s="3"/>
      <c r="H97" s="3"/>
      <c r="I97" s="3" t="str">
        <f ca="1">IFERROR(__xludf.DUMMYFUNCTION("""COMPUTED_VALUE"""),"Explore")</f>
        <v>Explore</v>
      </c>
      <c r="J97" s="3" t="str">
        <f ca="1">IFERROR(__xludf.DUMMYFUNCTION("""COMPUTED_VALUE"""),"Direct Instruction")</f>
        <v>Direct Instruction</v>
      </c>
      <c r="K97" s="3" t="str">
        <f ca="1">IFERROR(__xludf.DUMMYFUNCTION("""COMPUTED_VALUE"""),"Autism/SPED multi-level high school")</f>
        <v>Autism/SPED multi-level high school</v>
      </c>
      <c r="L97" s="3"/>
      <c r="M97" s="3"/>
      <c r="N97" s="3"/>
      <c r="O97" s="3"/>
      <c r="P97" s="3"/>
      <c r="Q97" s="3"/>
      <c r="R97" s="3"/>
      <c r="S97" s="3"/>
      <c r="T97" s="3" t="str">
        <f ca="1">IFERROR(__xludf.DUMMYFUNCTION("""COMPUTED_VALUE"""),"Norman North")</f>
        <v>Norman North</v>
      </c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15">
      <c r="A98" s="2">
        <f ca="1">IFERROR(__xludf.DUMMYFUNCTION("""COMPUTED_VALUE"""),45642.5975586921)</f>
        <v>45642.597558692098</v>
      </c>
      <c r="B98" s="3" t="str">
        <f ca="1">IFERROR(__xludf.DUMMYFUNCTION("""COMPUTED_VALUE"""),"ksmith8@normanps.org")</f>
        <v>ksmith8@normanps.org</v>
      </c>
      <c r="C98" s="3"/>
      <c r="D98" s="3">
        <f ca="1">IFERROR(__xludf.DUMMYFUNCTION("""COMPUTED_VALUE"""),4)</f>
        <v>4</v>
      </c>
      <c r="E98" s="3"/>
      <c r="F98" s="6"/>
      <c r="G98" s="3"/>
      <c r="H98" s="3"/>
      <c r="I98" s="3" t="str">
        <f ca="1">IFERROR(__xludf.DUMMYFUNCTION("""COMPUTED_VALUE"""),"Explore")</f>
        <v>Explore</v>
      </c>
      <c r="J98" s="3" t="str">
        <f ca="1">IFERROR(__xludf.DUMMYFUNCTION("""COMPUTED_VALUE"""),"Science")</f>
        <v>Science</v>
      </c>
      <c r="K98" s="3" t="str">
        <f ca="1">IFERROR(__xludf.DUMMYFUNCTION("""COMPUTED_VALUE"""),"HS multi-grade class")</f>
        <v>HS multi-grade class</v>
      </c>
      <c r="L98" s="3"/>
      <c r="M98" s="3"/>
      <c r="N98" s="3"/>
      <c r="O98" s="3"/>
      <c r="P98" s="3"/>
      <c r="Q98" s="3"/>
      <c r="R98" s="3"/>
      <c r="S98" s="3"/>
      <c r="T98" s="3" t="str">
        <f ca="1">IFERROR(__xludf.DUMMYFUNCTION("""COMPUTED_VALUE"""),"Norman North")</f>
        <v>Norman North</v>
      </c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15">
      <c r="A99" s="2">
        <f ca="1">IFERROR(__xludf.DUMMYFUNCTION("""COMPUTED_VALUE"""),45642.5982136689)</f>
        <v>45642.598213668898</v>
      </c>
      <c r="B99" s="3" t="str">
        <f ca="1">IFERROR(__xludf.DUMMYFUNCTION("""COMPUTED_VALUE"""),"ksmith8@normanps.org")</f>
        <v>ksmith8@normanps.org</v>
      </c>
      <c r="C99" s="3"/>
      <c r="D99" s="3"/>
      <c r="E99" s="3"/>
      <c r="F99" s="6"/>
      <c r="G99" s="3"/>
      <c r="H99" s="3"/>
      <c r="I99" s="3"/>
      <c r="J99" s="3"/>
      <c r="K99" s="3"/>
      <c r="L99" s="3"/>
      <c r="M99" s="3">
        <f ca="1">IFERROR(__xludf.DUMMYFUNCTION("""COMPUTED_VALUE"""),130)</f>
        <v>130</v>
      </c>
      <c r="N99" s="3"/>
      <c r="O99" s="3"/>
      <c r="P99" s="3"/>
      <c r="Q99" s="3"/>
      <c r="R99" s="3"/>
      <c r="S99" s="3"/>
      <c r="T99" s="3" t="str">
        <f ca="1">IFERROR(__xludf.DUMMYFUNCTION("""COMPUTED_VALUE"""),"Norman North")</f>
        <v>Norman North</v>
      </c>
      <c r="U99" s="3"/>
      <c r="V99" s="3"/>
      <c r="W99" s="3"/>
      <c r="X99" s="3"/>
      <c r="Y99" s="3"/>
      <c r="Z99" s="3"/>
      <c r="AA99" s="3"/>
      <c r="AB99" s="3"/>
      <c r="AC99" s="3"/>
    </row>
    <row r="100" spans="1:29" ht="13" x14ac:dyDescent="0.15">
      <c r="A100" s="2">
        <f ca="1">IFERROR(__xludf.DUMMYFUNCTION("""COMPUTED_VALUE"""),45642.5997785879)</f>
        <v>45642.599778587901</v>
      </c>
      <c r="B100" s="3" t="str">
        <f ca="1">IFERROR(__xludf.DUMMYFUNCTION("""COMPUTED_VALUE"""),"ksmith8@normanps.org")</f>
        <v>ksmith8@normanps.org</v>
      </c>
      <c r="C100" s="3"/>
      <c r="D100" s="3">
        <f ca="1">IFERROR(__xludf.DUMMYFUNCTION("""COMPUTED_VALUE"""),8)</f>
        <v>8</v>
      </c>
      <c r="E100" s="3"/>
      <c r="F100" s="6"/>
      <c r="G100" s="3"/>
      <c r="H100" s="3"/>
      <c r="I100" s="3" t="str">
        <f ca="1">IFERROR(__xludf.DUMMYFUNCTION("""COMPUTED_VALUE"""),"Explore")</f>
        <v>Explore</v>
      </c>
      <c r="J100" s="3" t="str">
        <f ca="1">IFERROR(__xludf.DUMMYFUNCTION("""COMPUTED_VALUE"""),"FACS")</f>
        <v>FACS</v>
      </c>
      <c r="K100" s="3" t="str">
        <f ca="1">IFERROR(__xludf.DUMMYFUNCTION("""COMPUTED_VALUE"""),"HS multi-grade class")</f>
        <v>HS multi-grade class</v>
      </c>
      <c r="L100" s="3"/>
      <c r="M100" s="3"/>
      <c r="N100" s="3"/>
      <c r="O100" s="3"/>
      <c r="P100" s="3"/>
      <c r="Q100" s="3"/>
      <c r="R100" s="3"/>
      <c r="S100" s="3"/>
      <c r="T100" s="3" t="str">
        <f ca="1">IFERROR(__xludf.DUMMYFUNCTION("""COMPUTED_VALUE"""),"Norman North")</f>
        <v>Norman North</v>
      </c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15">
      <c r="A101" s="2">
        <f ca="1">IFERROR(__xludf.DUMMYFUNCTION("""COMPUTED_VALUE"""),45644.5478496527)</f>
        <v>45644.547849652699</v>
      </c>
      <c r="B101" s="3" t="str">
        <f ca="1">IFERROR(__xludf.DUMMYFUNCTION("""COMPUTED_VALUE"""),"sschrank@normanps.org")</f>
        <v>sschrank@normanps.org</v>
      </c>
      <c r="C101" s="3">
        <f ca="1">IFERROR(__xludf.DUMMYFUNCTION("""COMPUTED_VALUE"""),1821)</f>
        <v>1821</v>
      </c>
      <c r="D101" s="3"/>
      <c r="E101" s="3"/>
      <c r="F101" s="6"/>
      <c r="G101" s="3"/>
      <c r="H101" s="3"/>
      <c r="I101" s="3"/>
      <c r="J101" s="3"/>
      <c r="K101" s="3"/>
      <c r="L101" s="3"/>
      <c r="M101" s="3"/>
      <c r="N101" s="3">
        <f ca="1">IFERROR(__xludf.DUMMYFUNCTION("""COMPUTED_VALUE"""),413)</f>
        <v>413</v>
      </c>
      <c r="O101" s="3"/>
      <c r="P101" s="3"/>
      <c r="Q101" s="3"/>
      <c r="R101" s="3"/>
      <c r="S101" s="3"/>
      <c r="T101" s="3" t="str">
        <f ca="1">IFERROR(__xludf.DUMMYFUNCTION("""COMPUTED_VALUE"""),"Norman North")</f>
        <v>Norman North</v>
      </c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15">
      <c r="A102" s="2">
        <f ca="1">IFERROR(__xludf.DUMMYFUNCTION("""COMPUTED_VALUE"""),45644.6099702777)</f>
        <v>45644.609970277699</v>
      </c>
      <c r="B102" s="3" t="str">
        <f ca="1">IFERROR(__xludf.DUMMYFUNCTION("""COMPUTED_VALUE"""),"mdettmann@normanps.org")</f>
        <v>mdettmann@normanps.org</v>
      </c>
      <c r="C102" s="3"/>
      <c r="D102" s="3"/>
      <c r="E102" s="3"/>
      <c r="F102" s="6"/>
      <c r="G102" s="3"/>
      <c r="H102" s="3"/>
      <c r="I102" s="3"/>
      <c r="J102" s="3"/>
      <c r="K102" s="3"/>
      <c r="L102" s="3"/>
      <c r="M102" s="3">
        <f ca="1">IFERROR(__xludf.DUMMYFUNCTION("""COMPUTED_VALUE"""),12)</f>
        <v>12</v>
      </c>
      <c r="N102" s="3"/>
      <c r="O102" s="3"/>
      <c r="P102" s="3"/>
      <c r="Q102" s="3"/>
      <c r="R102" s="3"/>
      <c r="S102" s="3"/>
      <c r="T102" s="3" t="str">
        <f ca="1">IFERROR(__xludf.DUMMYFUNCTION("""COMPUTED_VALUE"""),"Norman North")</f>
        <v>Norman North</v>
      </c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15">
      <c r="A103" s="2">
        <f ca="1">IFERROR(__xludf.DUMMYFUNCTION("""COMPUTED_VALUE"""),45646.4971755092)</f>
        <v>45646.497175509197</v>
      </c>
      <c r="B103" s="3" t="str">
        <f ca="1">IFERROR(__xludf.DUMMYFUNCTION("""COMPUTED_VALUE"""),"ksmith8@normanps.org")</f>
        <v>ksmith8@normanps.org</v>
      </c>
      <c r="C103" s="3"/>
      <c r="D103" s="3"/>
      <c r="E103" s="3"/>
      <c r="F103" s="6"/>
      <c r="G103" s="3"/>
      <c r="H103" s="3"/>
      <c r="I103" s="3"/>
      <c r="J103" s="3"/>
      <c r="K103" s="3"/>
      <c r="L103" s="3"/>
      <c r="M103" s="3">
        <f ca="1">IFERROR(__xludf.DUMMYFUNCTION("""COMPUTED_VALUE"""),12)</f>
        <v>12</v>
      </c>
      <c r="N103" s="3"/>
      <c r="O103" s="3"/>
      <c r="P103" s="3"/>
      <c r="Q103" s="3"/>
      <c r="R103" s="3"/>
      <c r="S103" s="3"/>
      <c r="T103" s="3" t="str">
        <f ca="1">IFERROR(__xludf.DUMMYFUNCTION("""COMPUTED_VALUE"""),"Norman North")</f>
        <v>Norman North</v>
      </c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" x14ac:dyDescent="0.15">
      <c r="A104" s="2">
        <f ca="1">IFERROR(__xludf.DUMMYFUNCTION("""COMPUTED_VALUE"""),45672.3498935069)</f>
        <v>45672.3498935069</v>
      </c>
      <c r="B104" s="3" t="str">
        <f ca="1">IFERROR(__xludf.DUMMYFUNCTION("""COMPUTED_VALUE"""),"sschrank@normanps.org")</f>
        <v>sschrank@normanps.org</v>
      </c>
      <c r="C104" s="3">
        <f ca="1">IFERROR(__xludf.DUMMYFUNCTION("""COMPUTED_VALUE"""),715)</f>
        <v>715</v>
      </c>
      <c r="D104" s="3"/>
      <c r="E104" s="3"/>
      <c r="F104" s="6"/>
      <c r="G104" s="3"/>
      <c r="H104" s="3"/>
      <c r="I104" s="3"/>
      <c r="J104" s="3"/>
      <c r="K104" s="3"/>
      <c r="L104" s="3"/>
      <c r="M104" s="3"/>
      <c r="N104" s="3">
        <f ca="1">IFERROR(__xludf.DUMMYFUNCTION("""COMPUTED_VALUE"""),129)</f>
        <v>129</v>
      </c>
      <c r="O104" s="3"/>
      <c r="P104" s="3"/>
      <c r="Q104" s="3"/>
      <c r="R104" s="3"/>
      <c r="S104" s="3"/>
      <c r="T104" s="3" t="str">
        <f ca="1">IFERROR(__xludf.DUMMYFUNCTION("""COMPUTED_VALUE"""),"Norman North")</f>
        <v>Norman North</v>
      </c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15">
      <c r="A105" s="2">
        <f ca="1">IFERROR(__xludf.DUMMYFUNCTION("""COMPUTED_VALUE"""),45672.433260787)</f>
        <v>45672.433260787002</v>
      </c>
      <c r="B105" s="3" t="str">
        <f ca="1">IFERROR(__xludf.DUMMYFUNCTION("""COMPUTED_VALUE"""),"sschrank@normanps.org")</f>
        <v>sschrank@normanps.org</v>
      </c>
      <c r="C105" s="3">
        <f ca="1">IFERROR(__xludf.DUMMYFUNCTION("""COMPUTED_VALUE"""),-27)</f>
        <v>-27</v>
      </c>
      <c r="D105" s="3"/>
      <c r="E105" s="3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 t="str">
        <f ca="1">IFERROR(__xludf.DUMMYFUNCTION("""COMPUTED_VALUE"""),"Norman North")</f>
        <v>Norman North</v>
      </c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15">
      <c r="A106" s="2">
        <f ca="1">IFERROR(__xludf.DUMMYFUNCTION("""COMPUTED_VALUE"""),45692.486590324)</f>
        <v>45692.486590323999</v>
      </c>
      <c r="B106" s="3" t="str">
        <f ca="1">IFERROR(__xludf.DUMMYFUNCTION("""COMPUTED_VALUE"""),"ksmith8@normanps.org")</f>
        <v>ksmith8@normanps.org</v>
      </c>
      <c r="C106" s="3"/>
      <c r="D106" s="3">
        <f ca="1">IFERROR(__xludf.DUMMYFUNCTION("""COMPUTED_VALUE"""),2)</f>
        <v>2</v>
      </c>
      <c r="E106" s="3"/>
      <c r="F106" s="6"/>
      <c r="G106" s="3">
        <f ca="1">IFERROR(__xludf.DUMMYFUNCTION("""COMPUTED_VALUE"""),16)</f>
        <v>16</v>
      </c>
      <c r="H106" s="3"/>
      <c r="I106" s="3" t="str">
        <f ca="1">IFERROR(__xludf.DUMMYFUNCTION("""COMPUTED_VALUE"""),"Inquire")</f>
        <v>Inquire</v>
      </c>
      <c r="J106" s="3" t="str">
        <f ca="1">IFERROR(__xludf.DUMMYFUNCTION("""COMPUTED_VALUE"""),"Fine Arts (Debate, Acting, etc)")</f>
        <v>Fine Arts (Debate, Acting, etc)</v>
      </c>
      <c r="K106" s="3" t="str">
        <f ca="1">IFERROR(__xludf.DUMMYFUNCTION("""COMPUTED_VALUE"""),"HS multi-grade class")</f>
        <v>HS multi-grade class</v>
      </c>
      <c r="L106" s="3"/>
      <c r="M106" s="3">
        <f ca="1">IFERROR(__xludf.DUMMYFUNCTION("""COMPUTED_VALUE"""),622)</f>
        <v>622</v>
      </c>
      <c r="N106" s="3"/>
      <c r="O106" s="3"/>
      <c r="P106" s="3" t="str">
        <f ca="1">IFERROR(__xludf.DUMMYFUNCTION("""COMPUTED_VALUE"""),"Pioneer Library System Norman Public Library West")</f>
        <v>Pioneer Library System Norman Public Library West</v>
      </c>
      <c r="Q106" s="3" t="str">
        <f ca="1">IFERROR(__xludf.DUMMYFUNCTION("""COMPUTED_VALUE"""),"OKSL Leadership Meeting as Past Chair")</f>
        <v>OKSL Leadership Meeting as Past Chair</v>
      </c>
      <c r="R106" s="3" t="str">
        <f ca="1">IFERROR(__xludf.DUMMYFUNCTION("""COMPUTED_VALUE"""),"SPED/CREW Makerspace")</f>
        <v>SPED/CREW Makerspace</v>
      </c>
      <c r="S106" s="3"/>
      <c r="T106" s="3" t="str">
        <f ca="1">IFERROR(__xludf.DUMMYFUNCTION("""COMPUTED_VALUE"""),"Norman North")</f>
        <v>Norman North</v>
      </c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15">
      <c r="A107" s="2">
        <f ca="1">IFERROR(__xludf.DUMMYFUNCTION("""COMPUTED_VALUE"""),45692.4874179976)</f>
        <v>45692.487417997603</v>
      </c>
      <c r="B107" s="3" t="str">
        <f ca="1">IFERROR(__xludf.DUMMYFUNCTION("""COMPUTED_VALUE"""),"ksmith8@normanps.org")</f>
        <v>ksmith8@normanps.org</v>
      </c>
      <c r="C107" s="3"/>
      <c r="D107" s="3">
        <f ca="1">IFERROR(__xludf.DUMMYFUNCTION("""COMPUTED_VALUE"""),1)</f>
        <v>1</v>
      </c>
      <c r="E107" s="3"/>
      <c r="F107" s="6"/>
      <c r="G107" s="3"/>
      <c r="H107" s="3"/>
      <c r="I107" s="3" t="str">
        <f ca="1">IFERROR(__xludf.DUMMYFUNCTION("""COMPUTED_VALUE"""),"Explore")</f>
        <v>Explore</v>
      </c>
      <c r="J107" s="3" t="str">
        <f ca="1">IFERROR(__xludf.DUMMYFUNCTION("""COMPUTED_VALUE"""),"Direct Instruction")</f>
        <v>Direct Instruction</v>
      </c>
      <c r="K107" s="3" t="str">
        <f ca="1">IFERROR(__xludf.DUMMYFUNCTION("""COMPUTED_VALUE"""),"Autism/SPED multi-level high school")</f>
        <v>Autism/SPED multi-level high school</v>
      </c>
      <c r="L107" s="3"/>
      <c r="M107" s="3"/>
      <c r="N107" s="3"/>
      <c r="O107" s="3"/>
      <c r="P107" s="3"/>
      <c r="Q107" s="3" t="str">
        <f ca="1">IFERROR(__xludf.DUMMYFUNCTION("""COMPUTED_VALUE"""),"North Academic Council as Library/Media/Department Chair")</f>
        <v>North Academic Council as Library/Media/Department Chair</v>
      </c>
      <c r="R107" s="3"/>
      <c r="S107" s="3"/>
      <c r="T107" s="3" t="str">
        <f ca="1">IFERROR(__xludf.DUMMYFUNCTION("""COMPUTED_VALUE"""),"Norman North")</f>
        <v>Norman North</v>
      </c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15">
      <c r="A108" s="2">
        <f ca="1">IFERROR(__xludf.DUMMYFUNCTION("""COMPUTED_VALUE"""),45692.4878365856)</f>
        <v>45692.487836585598</v>
      </c>
      <c r="B108" s="3" t="str">
        <f ca="1">IFERROR(__xludf.DUMMYFUNCTION("""COMPUTED_VALUE"""),"ksmith8@normanps.org")</f>
        <v>ksmith8@normanps.org</v>
      </c>
      <c r="C108" s="3"/>
      <c r="D108" s="3"/>
      <c r="E108" s="3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 t="str">
        <f ca="1">IFERROR(__xludf.DUMMYFUNCTION("""COMPUTED_VALUE"""),"North New Teacher Meetings as North New Teacher Liaison")</f>
        <v>North New Teacher Meetings as North New Teacher Liaison</v>
      </c>
      <c r="R108" s="3"/>
      <c r="S108" s="3"/>
      <c r="T108" s="3" t="str">
        <f ca="1">IFERROR(__xludf.DUMMYFUNCTION("""COMPUTED_VALUE"""),"Norman North")</f>
        <v>Norman North</v>
      </c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15">
      <c r="A109" s="2">
        <f ca="1">IFERROR(__xludf.DUMMYFUNCTION("""COMPUTED_VALUE"""),45692.4919861574)</f>
        <v>45692.491986157402</v>
      </c>
      <c r="B109" s="3" t="str">
        <f ca="1">IFERROR(__xludf.DUMMYFUNCTION("""COMPUTED_VALUE"""),"ksmith8@normanps.org")</f>
        <v>ksmith8@normanps.org</v>
      </c>
      <c r="C109" s="3"/>
      <c r="D109" s="3">
        <f ca="1">IFERROR(__xludf.DUMMYFUNCTION("""COMPUTED_VALUE"""),8)</f>
        <v>8</v>
      </c>
      <c r="E109" s="3"/>
      <c r="F109" s="6"/>
      <c r="G109" s="3"/>
      <c r="H109" s="3"/>
      <c r="I109" s="3" t="str">
        <f ca="1">IFERROR(__xludf.DUMMYFUNCTION("""COMPUTED_VALUE"""),"Inquire")</f>
        <v>Inquire</v>
      </c>
      <c r="J109" s="3" t="str">
        <f ca="1">IFERROR(__xludf.DUMMYFUNCTION("""COMPUTED_VALUE"""),"ELA")</f>
        <v>ELA</v>
      </c>
      <c r="K109" s="3" t="str">
        <f ca="1">IFERROR(__xludf.DUMMYFUNCTION("""COMPUTED_VALUE"""),"Tenth")</f>
        <v>Tenth</v>
      </c>
      <c r="L109" s="3"/>
      <c r="M109" s="3"/>
      <c r="N109" s="3"/>
      <c r="O109" s="3"/>
      <c r="P109" s="3"/>
      <c r="Q109" s="3"/>
      <c r="R109" s="3"/>
      <c r="S109" s="3"/>
      <c r="T109" s="3" t="str">
        <f ca="1">IFERROR(__xludf.DUMMYFUNCTION("""COMPUTED_VALUE"""),"Norman North")</f>
        <v>Norman North</v>
      </c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15">
      <c r="A110" s="2">
        <f ca="1">IFERROR(__xludf.DUMMYFUNCTION("""COMPUTED_VALUE"""),45692.4926836111)</f>
        <v>45692.492683611097</v>
      </c>
      <c r="B110" s="3" t="str">
        <f ca="1">IFERROR(__xludf.DUMMYFUNCTION("""COMPUTED_VALUE"""),"ksmith8@normanps.org")</f>
        <v>ksmith8@normanps.org</v>
      </c>
      <c r="C110" s="3"/>
      <c r="D110" s="3">
        <f ca="1">IFERROR(__xludf.DUMMYFUNCTION("""COMPUTED_VALUE"""),35)</f>
        <v>35</v>
      </c>
      <c r="E110" s="3"/>
      <c r="F110" s="6"/>
      <c r="G110" s="3"/>
      <c r="H110" s="3"/>
      <c r="I110" s="3" t="str">
        <f ca="1">IFERROR(__xludf.DUMMYFUNCTION("""COMPUTED_VALUE"""),"Inquire")</f>
        <v>Inquire</v>
      </c>
      <c r="J110" s="3" t="str">
        <f ca="1">IFERROR(__xludf.DUMMYFUNCTION("""COMPUTED_VALUE"""),"ELA")</f>
        <v>ELA</v>
      </c>
      <c r="K110" s="3" t="str">
        <f ca="1">IFERROR(__xludf.DUMMYFUNCTION("""COMPUTED_VALUE"""),"Ninth")</f>
        <v>Ninth</v>
      </c>
      <c r="L110" s="3"/>
      <c r="M110" s="3"/>
      <c r="N110" s="3"/>
      <c r="O110" s="3"/>
      <c r="P110" s="3"/>
      <c r="Q110" s="3"/>
      <c r="R110" s="3"/>
      <c r="S110" s="3"/>
      <c r="T110" s="3" t="str">
        <f ca="1">IFERROR(__xludf.DUMMYFUNCTION("""COMPUTED_VALUE"""),"Norman North")</f>
        <v>Norman North</v>
      </c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15">
      <c r="A111" s="2">
        <f ca="1">IFERROR(__xludf.DUMMYFUNCTION("""COMPUTED_VALUE"""),45692.4930408333)</f>
        <v>45692.493040833302</v>
      </c>
      <c r="B111" s="3" t="str">
        <f ca="1">IFERROR(__xludf.DUMMYFUNCTION("""COMPUTED_VALUE"""),"ksmith8@normanps.org")</f>
        <v>ksmith8@normanps.org</v>
      </c>
      <c r="C111" s="3"/>
      <c r="D111" s="3">
        <f ca="1">IFERROR(__xludf.DUMMYFUNCTION("""COMPUTED_VALUE"""),3)</f>
        <v>3</v>
      </c>
      <c r="E111" s="3"/>
      <c r="F111" s="6"/>
      <c r="G111" s="3"/>
      <c r="H111" s="3"/>
      <c r="I111" s="3" t="str">
        <f ca="1">IFERROR(__xludf.DUMMYFUNCTION("""COMPUTED_VALUE"""),"Curate")</f>
        <v>Curate</v>
      </c>
      <c r="J111" s="3" t="str">
        <f ca="1">IFERROR(__xludf.DUMMYFUNCTION("""COMPUTED_VALUE"""),"Fine Arts (Debate, Acting, etc)")</f>
        <v>Fine Arts (Debate, Acting, etc)</v>
      </c>
      <c r="K111" s="3" t="str">
        <f ca="1">IFERROR(__xludf.DUMMYFUNCTION("""COMPUTED_VALUE"""),"HS multi-grade class")</f>
        <v>HS multi-grade class</v>
      </c>
      <c r="L111" s="3"/>
      <c r="M111" s="3"/>
      <c r="N111" s="3"/>
      <c r="O111" s="3"/>
      <c r="P111" s="3"/>
      <c r="Q111" s="3"/>
      <c r="R111" s="3"/>
      <c r="S111" s="3"/>
      <c r="T111" s="3" t="str">
        <f ca="1">IFERROR(__xludf.DUMMYFUNCTION("""COMPUTED_VALUE"""),"Norman North")</f>
        <v>Norman North</v>
      </c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15">
      <c r="A112" s="2">
        <f ca="1">IFERROR(__xludf.DUMMYFUNCTION("""COMPUTED_VALUE"""),45692.493362199)</f>
        <v>45692.493362198999</v>
      </c>
      <c r="B112" s="3" t="str">
        <f ca="1">IFERROR(__xludf.DUMMYFUNCTION("""COMPUTED_VALUE"""),"ksmith8@normanps.org")</f>
        <v>ksmith8@normanps.org</v>
      </c>
      <c r="C112" s="3"/>
      <c r="D112" s="3">
        <f ca="1">IFERROR(__xludf.DUMMYFUNCTION("""COMPUTED_VALUE"""),5)</f>
        <v>5</v>
      </c>
      <c r="E112" s="3"/>
      <c r="F112" s="6"/>
      <c r="G112" s="3"/>
      <c r="H112" s="3"/>
      <c r="I112" s="3" t="str">
        <f ca="1">IFERROR(__xludf.DUMMYFUNCTION("""COMPUTED_VALUE"""),"Explore")</f>
        <v>Explore</v>
      </c>
      <c r="J112" s="3" t="str">
        <f ca="1">IFERROR(__xludf.DUMMYFUNCTION("""COMPUTED_VALUE"""),"Direct Instruction")</f>
        <v>Direct Instruction</v>
      </c>
      <c r="K112" s="3" t="str">
        <f ca="1">IFERROR(__xludf.DUMMYFUNCTION("""COMPUTED_VALUE"""),"Autism/SPED multi-level high school")</f>
        <v>Autism/SPED multi-level high school</v>
      </c>
      <c r="L112" s="3"/>
      <c r="M112" s="3"/>
      <c r="N112" s="3"/>
      <c r="O112" s="3"/>
      <c r="P112" s="3"/>
      <c r="Q112" s="3"/>
      <c r="R112" s="3"/>
      <c r="S112" s="3"/>
      <c r="T112" s="3" t="str">
        <f ca="1">IFERROR(__xludf.DUMMYFUNCTION("""COMPUTED_VALUE"""),"Norman North")</f>
        <v>Norman North</v>
      </c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" x14ac:dyDescent="0.15">
      <c r="A113" s="2">
        <f ca="1">IFERROR(__xludf.DUMMYFUNCTION("""COMPUTED_VALUE"""),45692.4937561689)</f>
        <v>45692.4937561689</v>
      </c>
      <c r="B113" s="3" t="str">
        <f ca="1">IFERROR(__xludf.DUMMYFUNCTION("""COMPUTED_VALUE"""),"ksmith8@normanps.org")</f>
        <v>ksmith8@normanps.org</v>
      </c>
      <c r="C113" s="3"/>
      <c r="D113" s="3">
        <f ca="1">IFERROR(__xludf.DUMMYFUNCTION("""COMPUTED_VALUE"""),3)</f>
        <v>3</v>
      </c>
      <c r="E113" s="3"/>
      <c r="F113" s="6"/>
      <c r="G113" s="3"/>
      <c r="H113" s="3"/>
      <c r="I113" s="3" t="str">
        <f ca="1">IFERROR(__xludf.DUMMYFUNCTION("""COMPUTED_VALUE"""),"Explore")</f>
        <v>Explore</v>
      </c>
      <c r="J113" s="3" t="str">
        <f ca="1">IFERROR(__xludf.DUMMYFUNCTION("""COMPUTED_VALUE"""),"ELA")</f>
        <v>ELA</v>
      </c>
      <c r="K113" s="3" t="str">
        <f ca="1">IFERROR(__xludf.DUMMYFUNCTION("""COMPUTED_VALUE"""),"Twelfth")</f>
        <v>Twelfth</v>
      </c>
      <c r="L113" s="3"/>
      <c r="M113" s="3"/>
      <c r="N113" s="3"/>
      <c r="O113" s="3"/>
      <c r="P113" s="3"/>
      <c r="Q113" s="3"/>
      <c r="R113" s="3"/>
      <c r="S113" s="3"/>
      <c r="T113" s="3" t="str">
        <f ca="1">IFERROR(__xludf.DUMMYFUNCTION("""COMPUTED_VALUE"""),"Norman North")</f>
        <v>Norman North</v>
      </c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15">
      <c r="A114" s="2">
        <f ca="1">IFERROR(__xludf.DUMMYFUNCTION("""COMPUTED_VALUE"""),45692.4941008912)</f>
        <v>45692.494100891199</v>
      </c>
      <c r="B114" s="3" t="str">
        <f ca="1">IFERROR(__xludf.DUMMYFUNCTION("""COMPUTED_VALUE"""),"ksmith8@normanps.org")</f>
        <v>ksmith8@normanps.org</v>
      </c>
      <c r="C114" s="3"/>
      <c r="D114" s="3">
        <f ca="1">IFERROR(__xludf.DUMMYFUNCTION("""COMPUTED_VALUE"""),2)</f>
        <v>2</v>
      </c>
      <c r="E114" s="3"/>
      <c r="F114" s="6"/>
      <c r="G114" s="3"/>
      <c r="H114" s="3"/>
      <c r="I114" s="3" t="str">
        <f ca="1">IFERROR(__xludf.DUMMYFUNCTION("""COMPUTED_VALUE"""),"Include")</f>
        <v>Include</v>
      </c>
      <c r="J114" s="3" t="str">
        <f ca="1">IFERROR(__xludf.DUMMYFUNCTION("""COMPUTED_VALUE"""),"ELA")</f>
        <v>ELA</v>
      </c>
      <c r="K114" s="3" t="str">
        <f ca="1">IFERROR(__xludf.DUMMYFUNCTION("""COMPUTED_VALUE"""),"Ninth")</f>
        <v>Ninth</v>
      </c>
      <c r="L114" s="3"/>
      <c r="M114" s="3"/>
      <c r="N114" s="3"/>
      <c r="O114" s="3"/>
      <c r="P114" s="3"/>
      <c r="Q114" s="3"/>
      <c r="R114" s="3"/>
      <c r="S114" s="3"/>
      <c r="T114" s="3" t="str">
        <f ca="1">IFERROR(__xludf.DUMMYFUNCTION("""COMPUTED_VALUE"""),"Norman North")</f>
        <v>Norman North</v>
      </c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15">
      <c r="A115" s="2">
        <f ca="1">IFERROR(__xludf.DUMMYFUNCTION("""COMPUTED_VALUE"""),45692.4944090509)</f>
        <v>45692.494409050902</v>
      </c>
      <c r="B115" s="3" t="str">
        <f ca="1">IFERROR(__xludf.DUMMYFUNCTION("""COMPUTED_VALUE"""),"ksmith8@normanps.org")</f>
        <v>ksmith8@normanps.org</v>
      </c>
      <c r="C115" s="3"/>
      <c r="D115" s="3">
        <f ca="1">IFERROR(__xludf.DUMMYFUNCTION("""COMPUTED_VALUE"""),2)</f>
        <v>2</v>
      </c>
      <c r="E115" s="3"/>
      <c r="F115" s="6"/>
      <c r="G115" s="3"/>
      <c r="H115" s="3"/>
      <c r="I115" s="3" t="str">
        <f ca="1">IFERROR(__xludf.DUMMYFUNCTION("""COMPUTED_VALUE"""),"Include")</f>
        <v>Include</v>
      </c>
      <c r="J115" s="3" t="str">
        <f ca="1">IFERROR(__xludf.DUMMYFUNCTION("""COMPUTED_VALUE"""),"ELA")</f>
        <v>ELA</v>
      </c>
      <c r="K115" s="3" t="str">
        <f ca="1">IFERROR(__xludf.DUMMYFUNCTION("""COMPUTED_VALUE"""),"HS multi-grade class")</f>
        <v>HS multi-grade class</v>
      </c>
      <c r="L115" s="3"/>
      <c r="M115" s="3"/>
      <c r="N115" s="3"/>
      <c r="O115" s="3"/>
      <c r="P115" s="3"/>
      <c r="Q115" s="3"/>
      <c r="R115" s="3"/>
      <c r="S115" s="3"/>
      <c r="T115" s="3" t="str">
        <f ca="1">IFERROR(__xludf.DUMMYFUNCTION("""COMPUTED_VALUE"""),"Norman North")</f>
        <v>Norman North</v>
      </c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15">
      <c r="A116" s="2">
        <f ca="1">IFERROR(__xludf.DUMMYFUNCTION("""COMPUTED_VALUE"""),45692.4948422916)</f>
        <v>45692.494842291599</v>
      </c>
      <c r="B116" s="3" t="str">
        <f ca="1">IFERROR(__xludf.DUMMYFUNCTION("""COMPUTED_VALUE"""),"ksmith8@normanps.org")</f>
        <v>ksmith8@normanps.org</v>
      </c>
      <c r="C116" s="3"/>
      <c r="D116" s="3">
        <f ca="1">IFERROR(__xludf.DUMMYFUNCTION("""COMPUTED_VALUE"""),14)</f>
        <v>14</v>
      </c>
      <c r="E116" s="3"/>
      <c r="F116" s="6"/>
      <c r="G116" s="3"/>
      <c r="H116" s="3"/>
      <c r="I116" s="3" t="str">
        <f ca="1">IFERROR(__xludf.DUMMYFUNCTION("""COMPUTED_VALUE"""),"Engage")</f>
        <v>Engage</v>
      </c>
      <c r="J116" s="3" t="str">
        <f ca="1">IFERROR(__xludf.DUMMYFUNCTION("""COMPUTED_VALUE"""),"Social Studies")</f>
        <v>Social Studies</v>
      </c>
      <c r="K116" s="3" t="str">
        <f ca="1">IFERROR(__xludf.DUMMYFUNCTION("""COMPUTED_VALUE"""),"HS multi-grade class")</f>
        <v>HS multi-grade class</v>
      </c>
      <c r="L116" s="3"/>
      <c r="M116" s="3"/>
      <c r="N116" s="3"/>
      <c r="O116" s="3"/>
      <c r="P116" s="3"/>
      <c r="Q116" s="3"/>
      <c r="R116" s="3"/>
      <c r="S116" s="3"/>
      <c r="T116" s="3" t="str">
        <f ca="1">IFERROR(__xludf.DUMMYFUNCTION("""COMPUTED_VALUE"""),"Norman North")</f>
        <v>Norman North</v>
      </c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15">
      <c r="A117" s="2">
        <f ca="1">IFERROR(__xludf.DUMMYFUNCTION("""COMPUTED_VALUE"""),45692.4956259953)</f>
        <v>45692.495625995303</v>
      </c>
      <c r="B117" s="3" t="str">
        <f ca="1">IFERROR(__xludf.DUMMYFUNCTION("""COMPUTED_VALUE"""),"ksmith8@normanps.org")</f>
        <v>ksmith8@normanps.org</v>
      </c>
      <c r="C117" s="3"/>
      <c r="D117" s="3">
        <f ca="1">IFERROR(__xludf.DUMMYFUNCTION("""COMPUTED_VALUE"""),10)</f>
        <v>10</v>
      </c>
      <c r="E117" s="3"/>
      <c r="F117" s="6"/>
      <c r="G117" s="3"/>
      <c r="H117" s="3"/>
      <c r="I117" s="3" t="str">
        <f ca="1">IFERROR(__xludf.DUMMYFUNCTION("""COMPUTED_VALUE"""),"Engage")</f>
        <v>Engage</v>
      </c>
      <c r="J117" s="3" t="str">
        <f ca="1">IFERROR(__xludf.DUMMYFUNCTION("""COMPUTED_VALUE"""),"ELA")</f>
        <v>ELA</v>
      </c>
      <c r="K117" s="3" t="str">
        <f ca="1">IFERROR(__xludf.DUMMYFUNCTION("""COMPUTED_VALUE"""),"Twelfth")</f>
        <v>Twelfth</v>
      </c>
      <c r="L117" s="3"/>
      <c r="M117" s="3"/>
      <c r="N117" s="3"/>
      <c r="O117" s="3"/>
      <c r="P117" s="3"/>
      <c r="Q117" s="3"/>
      <c r="R117" s="3"/>
      <c r="S117" s="3"/>
      <c r="T117" s="3" t="str">
        <f ca="1">IFERROR(__xludf.DUMMYFUNCTION("""COMPUTED_VALUE"""),"Norman North")</f>
        <v>Norman North</v>
      </c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15">
      <c r="A118" s="2">
        <f ca="1">IFERROR(__xludf.DUMMYFUNCTION("""COMPUTED_VALUE"""),45693.4868392245)</f>
        <v>45693.486839224497</v>
      </c>
      <c r="B118" s="3" t="str">
        <f ca="1">IFERROR(__xludf.DUMMYFUNCTION("""COMPUTED_VALUE"""),"sschrank@normanps.org")</f>
        <v>sschrank@normanps.org</v>
      </c>
      <c r="C118" s="3">
        <f ca="1">IFERROR(__xludf.DUMMYFUNCTION("""COMPUTED_VALUE"""),1148)</f>
        <v>1148</v>
      </c>
      <c r="D118" s="3"/>
      <c r="E118" s="3"/>
      <c r="F118" s="6"/>
      <c r="G118" s="3"/>
      <c r="H118" s="3"/>
      <c r="I118" s="3"/>
      <c r="J118" s="3"/>
      <c r="K118" s="3"/>
      <c r="L118" s="3"/>
      <c r="M118" s="3"/>
      <c r="N118" s="3">
        <f ca="1">IFERROR(__xludf.DUMMYFUNCTION("""COMPUTED_VALUE"""),158)</f>
        <v>158</v>
      </c>
      <c r="O118" s="3"/>
      <c r="P118" s="3"/>
      <c r="Q118" s="3"/>
      <c r="R118" s="3"/>
      <c r="S118" s="3"/>
      <c r="T118" s="3" t="str">
        <f ca="1">IFERROR(__xludf.DUMMYFUNCTION("""COMPUTED_VALUE"""),"Norman North")</f>
        <v>Norman North</v>
      </c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15">
      <c r="A119" s="2">
        <f ca="1">IFERROR(__xludf.DUMMYFUNCTION("""COMPUTED_VALUE"""),45719.5024252199)</f>
        <v>45719.5024252199</v>
      </c>
      <c r="B119" s="3" t="str">
        <f ca="1">IFERROR(__xludf.DUMMYFUNCTION("""COMPUTED_VALUE"""),"ksmith8@normanps.org")</f>
        <v>ksmith8@normanps.org</v>
      </c>
      <c r="C119" s="3"/>
      <c r="D119" s="3">
        <f ca="1">IFERROR(__xludf.DUMMYFUNCTION("""COMPUTED_VALUE"""),3)</f>
        <v>3</v>
      </c>
      <c r="E119" s="3"/>
      <c r="F119" s="6"/>
      <c r="G119" s="3">
        <f ca="1">IFERROR(__xludf.DUMMYFUNCTION("""COMPUTED_VALUE"""),12)</f>
        <v>12</v>
      </c>
      <c r="H119" s="3"/>
      <c r="I119" s="3" t="str">
        <f ca="1">IFERROR(__xludf.DUMMYFUNCTION("""COMPUTED_VALUE"""),"Curate")</f>
        <v>Curate</v>
      </c>
      <c r="J119" s="3" t="str">
        <f ca="1">IFERROR(__xludf.DUMMYFUNCTION("""COMPUTED_VALUE"""),"Fine Arts (Debate, Acting, etc)")</f>
        <v>Fine Arts (Debate, Acting, etc)</v>
      </c>
      <c r="K119" s="3" t="str">
        <f ca="1">IFERROR(__xludf.DUMMYFUNCTION("""COMPUTED_VALUE"""),"HS multi-grade class")</f>
        <v>HS multi-grade class</v>
      </c>
      <c r="L119" s="3"/>
      <c r="M119" s="3">
        <f ca="1">IFERROR(__xludf.DUMMYFUNCTION("""COMPUTED_VALUE"""),56)</f>
        <v>56</v>
      </c>
      <c r="N119" s="3"/>
      <c r="O119" s="3"/>
      <c r="P119" s="3"/>
      <c r="Q119" s="3" t="str">
        <f ca="1">IFERROR(__xludf.DUMMYFUNCTION("""COMPUTED_VALUE"""),"OKSL Leadership Meeting as Past Chair")</f>
        <v>OKSL Leadership Meeting as Past Chair</v>
      </c>
      <c r="R119" s="3" t="str">
        <f ca="1">IFERROR(__xludf.DUMMYFUNCTION("""COMPUTED_VALUE"""),"Pioneer Library System Norman Public Library West SPED/CREW Makerspace")</f>
        <v>Pioneer Library System Norman Public Library West SPED/CREW Makerspace</v>
      </c>
      <c r="S119" s="3"/>
      <c r="T119" s="3" t="str">
        <f ca="1">IFERROR(__xludf.DUMMYFUNCTION("""COMPUTED_VALUE"""),"Norman North")</f>
        <v>Norman North</v>
      </c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15">
      <c r="A120" s="2">
        <f ca="1">IFERROR(__xludf.DUMMYFUNCTION("""COMPUTED_VALUE"""),45719.5026987268)</f>
        <v>45719.502698726799</v>
      </c>
      <c r="B120" s="3" t="str">
        <f ca="1">IFERROR(__xludf.DUMMYFUNCTION("""COMPUTED_VALUE"""),"ksmith8@normanps.org")</f>
        <v>ksmith8@normanps.org</v>
      </c>
      <c r="C120" s="3"/>
      <c r="D120" s="3"/>
      <c r="E120" s="3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 t="str">
        <f ca="1">IFERROR(__xludf.DUMMYFUNCTION("""COMPUTED_VALUE"""),"North Academic Council as Library/Media/Department Chair")</f>
        <v>North Academic Council as Library/Media/Department Chair</v>
      </c>
      <c r="R120" s="3"/>
      <c r="S120" s="3"/>
      <c r="T120" s="3" t="str">
        <f ca="1">IFERROR(__xludf.DUMMYFUNCTION("""COMPUTED_VALUE"""),"Norman North")</f>
        <v>Norman North</v>
      </c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15">
      <c r="A121" s="2">
        <f ca="1">IFERROR(__xludf.DUMMYFUNCTION("""COMPUTED_VALUE"""),45719.5029074768)</f>
        <v>45719.502907476803</v>
      </c>
      <c r="B121" s="3" t="str">
        <f ca="1">IFERROR(__xludf.DUMMYFUNCTION("""COMPUTED_VALUE"""),"ksmith8@normanps.org")</f>
        <v>ksmith8@normanps.org</v>
      </c>
      <c r="C121" s="3"/>
      <c r="D121" s="3"/>
      <c r="E121" s="3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 t="str">
        <f ca="1">IFERROR(__xludf.DUMMYFUNCTION("""COMPUTED_VALUE"""),"North New Teacher Meetings as North New Teacher Liaison")</f>
        <v>North New Teacher Meetings as North New Teacher Liaison</v>
      </c>
      <c r="R121" s="3"/>
      <c r="S121" s="3"/>
      <c r="T121" s="3" t="str">
        <f ca="1">IFERROR(__xludf.DUMMYFUNCTION("""COMPUTED_VALUE"""),"Norman North")</f>
        <v>Norman North</v>
      </c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15">
      <c r="A122" s="2">
        <f ca="1">IFERROR(__xludf.DUMMYFUNCTION("""COMPUTED_VALUE"""),45719.5437940625)</f>
        <v>45719.543794062498</v>
      </c>
      <c r="B122" s="3" t="str">
        <f ca="1">IFERROR(__xludf.DUMMYFUNCTION("""COMPUTED_VALUE"""),"ksmith8@normanps.org")</f>
        <v>ksmith8@normanps.org</v>
      </c>
      <c r="C122" s="3"/>
      <c r="D122" s="3">
        <f ca="1">IFERROR(__xludf.DUMMYFUNCTION("""COMPUTED_VALUE"""),45)</f>
        <v>45</v>
      </c>
      <c r="E122" s="3"/>
      <c r="F122" s="6"/>
      <c r="G122" s="3"/>
      <c r="H122" s="3"/>
      <c r="I122" s="3" t="str">
        <f ca="1">IFERROR(__xludf.DUMMYFUNCTION("""COMPUTED_VALUE"""),"Inquire")</f>
        <v>Inquire</v>
      </c>
      <c r="J122" s="3" t="str">
        <f ca="1">IFERROR(__xludf.DUMMYFUNCTION("""COMPUTED_VALUE"""),"ELA")</f>
        <v>ELA</v>
      </c>
      <c r="K122" s="3" t="str">
        <f ca="1">IFERROR(__xludf.DUMMYFUNCTION("""COMPUTED_VALUE"""),"Ninth")</f>
        <v>Ninth</v>
      </c>
      <c r="L122" s="3"/>
      <c r="M122" s="3"/>
      <c r="N122" s="3"/>
      <c r="O122" s="3"/>
      <c r="P122" s="3"/>
      <c r="Q122" s="3"/>
      <c r="R122" s="3"/>
      <c r="S122" s="3"/>
      <c r="T122" s="3" t="str">
        <f ca="1">IFERROR(__xludf.DUMMYFUNCTION("""COMPUTED_VALUE"""),"Norman North")</f>
        <v>Norman North</v>
      </c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15">
      <c r="A123" s="2">
        <f ca="1">IFERROR(__xludf.DUMMYFUNCTION("""COMPUTED_VALUE"""),45719.5441232754)</f>
        <v>45719.544123275402</v>
      </c>
      <c r="B123" s="3" t="str">
        <f ca="1">IFERROR(__xludf.DUMMYFUNCTION("""COMPUTED_VALUE"""),"ksmith8@normanps.org")</f>
        <v>ksmith8@normanps.org</v>
      </c>
      <c r="C123" s="3"/>
      <c r="D123" s="3">
        <f ca="1">IFERROR(__xludf.DUMMYFUNCTION("""COMPUTED_VALUE"""),12)</f>
        <v>12</v>
      </c>
      <c r="E123" s="3"/>
      <c r="F123" s="6"/>
      <c r="G123" s="3"/>
      <c r="H123" s="3"/>
      <c r="I123" s="3" t="str">
        <f ca="1">IFERROR(__xludf.DUMMYFUNCTION("""COMPUTED_VALUE"""),"Inquire")</f>
        <v>Inquire</v>
      </c>
      <c r="J123" s="3" t="str">
        <f ca="1">IFERROR(__xludf.DUMMYFUNCTION("""COMPUTED_VALUE"""),"ELA")</f>
        <v>ELA</v>
      </c>
      <c r="K123" s="3" t="str">
        <f ca="1">IFERROR(__xludf.DUMMYFUNCTION("""COMPUTED_VALUE"""),"Tenth")</f>
        <v>Tenth</v>
      </c>
      <c r="L123" s="3"/>
      <c r="M123" s="3"/>
      <c r="N123" s="3"/>
      <c r="O123" s="3"/>
      <c r="P123" s="3"/>
      <c r="Q123" s="3"/>
      <c r="R123" s="3"/>
      <c r="S123" s="3"/>
      <c r="T123" s="3" t="str">
        <f ca="1">IFERROR(__xludf.DUMMYFUNCTION("""COMPUTED_VALUE"""),"Norman North")</f>
        <v>Norman North</v>
      </c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15">
      <c r="A124" s="2">
        <f ca="1">IFERROR(__xludf.DUMMYFUNCTION("""COMPUTED_VALUE"""),45719.5448338657)</f>
        <v>45719.544833865701</v>
      </c>
      <c r="B124" s="3" t="str">
        <f ca="1">IFERROR(__xludf.DUMMYFUNCTION("""COMPUTED_VALUE"""),"ksmith8@normanps.org")</f>
        <v>ksmith8@normanps.org</v>
      </c>
      <c r="C124" s="3"/>
      <c r="D124" s="3">
        <f ca="1">IFERROR(__xludf.DUMMYFUNCTION("""COMPUTED_VALUE"""),2)</f>
        <v>2</v>
      </c>
      <c r="E124" s="3"/>
      <c r="F124" s="6"/>
      <c r="G124" s="3"/>
      <c r="H124" s="3"/>
      <c r="I124" s="3" t="str">
        <f ca="1">IFERROR(__xludf.DUMMYFUNCTION("""COMPUTED_VALUE"""),"Inquire")</f>
        <v>Inquire</v>
      </c>
      <c r="J124" s="3" t="str">
        <f ca="1">IFERROR(__xludf.DUMMYFUNCTION("""COMPUTED_VALUE"""),"Fine Arts (Debate, Acting, etc)")</f>
        <v>Fine Arts (Debate, Acting, etc)</v>
      </c>
      <c r="K124" s="3" t="str">
        <f ca="1">IFERROR(__xludf.DUMMYFUNCTION("""COMPUTED_VALUE"""),"HS multi-grade class")</f>
        <v>HS multi-grade class</v>
      </c>
      <c r="L124" s="3"/>
      <c r="M124" s="3"/>
      <c r="N124" s="3"/>
      <c r="O124" s="3"/>
      <c r="P124" s="3"/>
      <c r="Q124" s="3"/>
      <c r="R124" s="3"/>
      <c r="S124" s="3"/>
      <c r="T124" s="3" t="str">
        <f ca="1">IFERROR(__xludf.DUMMYFUNCTION("""COMPUTED_VALUE"""),"Norman North")</f>
        <v>Norman North</v>
      </c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15">
      <c r="A125" s="2">
        <f ca="1">IFERROR(__xludf.DUMMYFUNCTION("""COMPUTED_VALUE"""),45719.5459813888)</f>
        <v>45719.545981388801</v>
      </c>
      <c r="B125" s="3" t="str">
        <f ca="1">IFERROR(__xludf.DUMMYFUNCTION("""COMPUTED_VALUE"""),"ksmith8@normanps.org")</f>
        <v>ksmith8@normanps.org</v>
      </c>
      <c r="C125" s="3"/>
      <c r="D125" s="3">
        <f ca="1">IFERROR(__xludf.DUMMYFUNCTION("""COMPUTED_VALUE"""),2)</f>
        <v>2</v>
      </c>
      <c r="E125" s="3"/>
      <c r="F125" s="6"/>
      <c r="G125" s="3"/>
      <c r="H125" s="3"/>
      <c r="I125" s="3" t="str">
        <f ca="1">IFERROR(__xludf.DUMMYFUNCTION("""COMPUTED_VALUE"""),"Explore")</f>
        <v>Explore</v>
      </c>
      <c r="J125" s="3" t="str">
        <f ca="1">IFERROR(__xludf.DUMMYFUNCTION("""COMPUTED_VALUE"""),"Direct Instruction")</f>
        <v>Direct Instruction</v>
      </c>
      <c r="K125" s="3" t="str">
        <f ca="1">IFERROR(__xludf.DUMMYFUNCTION("""COMPUTED_VALUE"""),"Autism/SPED multi-level high school")</f>
        <v>Autism/SPED multi-level high school</v>
      </c>
      <c r="L125" s="3"/>
      <c r="M125" s="3"/>
      <c r="N125" s="3"/>
      <c r="O125" s="3"/>
      <c r="P125" s="3"/>
      <c r="Q125" s="3"/>
      <c r="R125" s="3"/>
      <c r="S125" s="3"/>
      <c r="T125" s="3" t="str">
        <f ca="1">IFERROR(__xludf.DUMMYFUNCTION("""COMPUTED_VALUE"""),"Norman North")</f>
        <v>Norman North</v>
      </c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15">
      <c r="A126" s="2">
        <f ca="1">IFERROR(__xludf.DUMMYFUNCTION("""COMPUTED_VALUE"""),45719.546317037)</f>
        <v>45719.546317036999</v>
      </c>
      <c r="B126" s="3" t="str">
        <f ca="1">IFERROR(__xludf.DUMMYFUNCTION("""COMPUTED_VALUE"""),"ksmith8@normanps.org")</f>
        <v>ksmith8@normanps.org</v>
      </c>
      <c r="C126" s="3"/>
      <c r="D126" s="3">
        <f ca="1">IFERROR(__xludf.DUMMYFUNCTION("""COMPUTED_VALUE"""),8)</f>
        <v>8</v>
      </c>
      <c r="E126" s="3"/>
      <c r="F126" s="6"/>
      <c r="G126" s="3"/>
      <c r="H126" s="3"/>
      <c r="I126" s="3" t="str">
        <f ca="1">IFERROR(__xludf.DUMMYFUNCTION("""COMPUTED_VALUE"""),"Include")</f>
        <v>Include</v>
      </c>
      <c r="J126" s="3" t="str">
        <f ca="1">IFERROR(__xludf.DUMMYFUNCTION("""COMPUTED_VALUE"""),"FACS")</f>
        <v>FACS</v>
      </c>
      <c r="K126" s="3" t="str">
        <f ca="1">IFERROR(__xludf.DUMMYFUNCTION("""COMPUTED_VALUE"""),"HS multi-grade class")</f>
        <v>HS multi-grade class</v>
      </c>
      <c r="L126" s="3"/>
      <c r="M126" s="3"/>
      <c r="N126" s="3"/>
      <c r="O126" s="3"/>
      <c r="P126" s="3"/>
      <c r="Q126" s="3"/>
      <c r="R126" s="3"/>
      <c r="S126" s="3"/>
      <c r="T126" s="3" t="str">
        <f ca="1">IFERROR(__xludf.DUMMYFUNCTION("""COMPUTED_VALUE"""),"Norman North")</f>
        <v>Norman North</v>
      </c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15">
      <c r="A127" s="2">
        <f ca="1">IFERROR(__xludf.DUMMYFUNCTION("""COMPUTED_VALUE"""),45719.546687743)</f>
        <v>45719.546687743001</v>
      </c>
      <c r="B127" s="3" t="str">
        <f ca="1">IFERROR(__xludf.DUMMYFUNCTION("""COMPUTED_VALUE"""),"ksmith8@normanps.org")</f>
        <v>ksmith8@normanps.org</v>
      </c>
      <c r="C127" s="3"/>
      <c r="D127" s="3">
        <f ca="1">IFERROR(__xludf.DUMMYFUNCTION("""COMPUTED_VALUE"""),3)</f>
        <v>3</v>
      </c>
      <c r="E127" s="3"/>
      <c r="F127" s="6"/>
      <c r="G127" s="3"/>
      <c r="H127" s="3"/>
      <c r="I127" s="3" t="str">
        <f ca="1">IFERROR(__xludf.DUMMYFUNCTION("""COMPUTED_VALUE"""),"Include")</f>
        <v>Include</v>
      </c>
      <c r="J127" s="3" t="str">
        <f ca="1">IFERROR(__xludf.DUMMYFUNCTION("""COMPUTED_VALUE"""),"ELA")</f>
        <v>ELA</v>
      </c>
      <c r="K127" s="3" t="str">
        <f ca="1">IFERROR(__xludf.DUMMYFUNCTION("""COMPUTED_VALUE"""),"Eleventh")</f>
        <v>Eleventh</v>
      </c>
      <c r="L127" s="3"/>
      <c r="M127" s="3"/>
      <c r="N127" s="3"/>
      <c r="O127" s="3"/>
      <c r="P127" s="3"/>
      <c r="Q127" s="3"/>
      <c r="R127" s="3"/>
      <c r="S127" s="3"/>
      <c r="T127" s="3" t="str">
        <f ca="1">IFERROR(__xludf.DUMMYFUNCTION("""COMPUTED_VALUE"""),"Norman North")</f>
        <v>Norman North</v>
      </c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15">
      <c r="A128" s="2">
        <f ca="1">IFERROR(__xludf.DUMMYFUNCTION("""COMPUTED_VALUE"""),45719.5470630787)</f>
        <v>45719.547063078702</v>
      </c>
      <c r="B128" s="3" t="str">
        <f ca="1">IFERROR(__xludf.DUMMYFUNCTION("""COMPUTED_VALUE"""),"ksmith8@normanps.org")</f>
        <v>ksmith8@normanps.org</v>
      </c>
      <c r="C128" s="3"/>
      <c r="D128" s="3">
        <f ca="1">IFERROR(__xludf.DUMMYFUNCTION("""COMPUTED_VALUE"""),6)</f>
        <v>6</v>
      </c>
      <c r="E128" s="3"/>
      <c r="F128" s="6"/>
      <c r="G128" s="3"/>
      <c r="H128" s="3"/>
      <c r="I128" s="3" t="str">
        <f ca="1">IFERROR(__xludf.DUMMYFUNCTION("""COMPUTED_VALUE"""),"Explore")</f>
        <v>Explore</v>
      </c>
      <c r="J128" s="3" t="str">
        <f ca="1">IFERROR(__xludf.DUMMYFUNCTION("""COMPUTED_VALUE"""),"ELA")</f>
        <v>ELA</v>
      </c>
      <c r="K128" s="3" t="str">
        <f ca="1">IFERROR(__xludf.DUMMYFUNCTION("""COMPUTED_VALUE"""),"Eleventh")</f>
        <v>Eleventh</v>
      </c>
      <c r="L128" s="3"/>
      <c r="M128" s="3"/>
      <c r="N128" s="3"/>
      <c r="O128" s="3"/>
      <c r="P128" s="3"/>
      <c r="Q128" s="3"/>
      <c r="R128" s="3"/>
      <c r="S128" s="3"/>
      <c r="T128" s="3" t="str">
        <f ca="1">IFERROR(__xludf.DUMMYFUNCTION("""COMPUTED_VALUE"""),"Norman North")</f>
        <v>Norman North</v>
      </c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15">
      <c r="A129" s="2">
        <f ca="1">IFERROR(__xludf.DUMMYFUNCTION("""COMPUTED_VALUE"""),45719.5473980439)</f>
        <v>45719.547398043898</v>
      </c>
      <c r="B129" s="3" t="str">
        <f ca="1">IFERROR(__xludf.DUMMYFUNCTION("""COMPUTED_VALUE"""),"ksmith8@normanps.org")</f>
        <v>ksmith8@normanps.org</v>
      </c>
      <c r="C129" s="3"/>
      <c r="D129" s="3">
        <f ca="1">IFERROR(__xludf.DUMMYFUNCTION("""COMPUTED_VALUE"""),1)</f>
        <v>1</v>
      </c>
      <c r="E129" s="3"/>
      <c r="F129" s="6"/>
      <c r="G129" s="3"/>
      <c r="H129" s="3"/>
      <c r="I129" s="3" t="str">
        <f ca="1">IFERROR(__xludf.DUMMYFUNCTION("""COMPUTED_VALUE"""),"Include")</f>
        <v>Include</v>
      </c>
      <c r="J129" s="3" t="str">
        <f ca="1">IFERROR(__xludf.DUMMYFUNCTION("""COMPUTED_VALUE"""),"Direct Instruction")</f>
        <v>Direct Instruction</v>
      </c>
      <c r="K129" s="3" t="str">
        <f ca="1">IFERROR(__xludf.DUMMYFUNCTION("""COMPUTED_VALUE"""),"Autism/SPED multi-level high school")</f>
        <v>Autism/SPED multi-level high school</v>
      </c>
      <c r="L129" s="3"/>
      <c r="M129" s="3"/>
      <c r="N129" s="3"/>
      <c r="O129" s="3"/>
      <c r="P129" s="3"/>
      <c r="Q129" s="3"/>
      <c r="R129" s="3"/>
      <c r="S129" s="3"/>
      <c r="T129" s="3" t="str">
        <f ca="1">IFERROR(__xludf.DUMMYFUNCTION("""COMPUTED_VALUE"""),"Norman North")</f>
        <v>Norman North</v>
      </c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15">
      <c r="A130" s="2">
        <f ca="1">IFERROR(__xludf.DUMMYFUNCTION("""COMPUTED_VALUE"""),45719.5477161458)</f>
        <v>45719.547716145797</v>
      </c>
      <c r="B130" s="3" t="str">
        <f ca="1">IFERROR(__xludf.DUMMYFUNCTION("""COMPUTED_VALUE"""),"ksmith8@normanps.org")</f>
        <v>ksmith8@normanps.org</v>
      </c>
      <c r="C130" s="3"/>
      <c r="D130" s="3">
        <f ca="1">IFERROR(__xludf.DUMMYFUNCTION("""COMPUTED_VALUE"""),4)</f>
        <v>4</v>
      </c>
      <c r="E130" s="3"/>
      <c r="F130" s="6"/>
      <c r="G130" s="3"/>
      <c r="H130" s="3"/>
      <c r="I130" s="3" t="str">
        <f ca="1">IFERROR(__xludf.DUMMYFUNCTION("""COMPUTED_VALUE"""),"Inquire")</f>
        <v>Inquire</v>
      </c>
      <c r="J130" s="3" t="str">
        <f ca="1">IFERROR(__xludf.DUMMYFUNCTION("""COMPUTED_VALUE"""),"ELA")</f>
        <v>ELA</v>
      </c>
      <c r="K130" s="3" t="str">
        <f ca="1">IFERROR(__xludf.DUMMYFUNCTION("""COMPUTED_VALUE"""),"Twelfth")</f>
        <v>Twelfth</v>
      </c>
      <c r="L130" s="3"/>
      <c r="M130" s="3"/>
      <c r="N130" s="3"/>
      <c r="O130" s="3"/>
      <c r="P130" s="3"/>
      <c r="Q130" s="3"/>
      <c r="R130" s="3"/>
      <c r="S130" s="3"/>
      <c r="T130" s="3" t="str">
        <f ca="1">IFERROR(__xludf.DUMMYFUNCTION("""COMPUTED_VALUE"""),"Norman North")</f>
        <v>Norman North</v>
      </c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15">
      <c r="A131" s="2">
        <f ca="1">IFERROR(__xludf.DUMMYFUNCTION("""COMPUTED_VALUE"""),45719.5902553009)</f>
        <v>45719.5902553009</v>
      </c>
      <c r="B131" s="3" t="str">
        <f ca="1">IFERROR(__xludf.DUMMYFUNCTION("""COMPUTED_VALUE"""),"ksmith8@normanps.org")</f>
        <v>ksmith8@normanps.org</v>
      </c>
      <c r="C131" s="3"/>
      <c r="D131" s="3">
        <f ca="1">IFERROR(__xludf.DUMMYFUNCTION("""COMPUTED_VALUE"""),8)</f>
        <v>8</v>
      </c>
      <c r="E131" s="3"/>
      <c r="F131" s="6"/>
      <c r="G131" s="3"/>
      <c r="H131" s="3"/>
      <c r="I131" s="3" t="str">
        <f ca="1">IFERROR(__xludf.DUMMYFUNCTION("""COMPUTED_VALUE"""),"Include")</f>
        <v>Include</v>
      </c>
      <c r="J131" s="3" t="str">
        <f ca="1">IFERROR(__xludf.DUMMYFUNCTION("""COMPUTED_VALUE"""),"Social Studies")</f>
        <v>Social Studies</v>
      </c>
      <c r="K131" s="3" t="str">
        <f ca="1">IFERROR(__xludf.DUMMYFUNCTION("""COMPUTED_VALUE"""),"Tenth")</f>
        <v>Tenth</v>
      </c>
      <c r="L131" s="3"/>
      <c r="M131" s="3"/>
      <c r="N131" s="3"/>
      <c r="O131" s="3"/>
      <c r="P131" s="3"/>
      <c r="Q131" s="3"/>
      <c r="R131" s="3"/>
      <c r="S131" s="3"/>
      <c r="T131" s="3" t="str">
        <f ca="1">IFERROR(__xludf.DUMMYFUNCTION("""COMPUTED_VALUE"""),"Norman North")</f>
        <v>Norman North</v>
      </c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15">
      <c r="A132" s="2">
        <f ca="1">IFERROR(__xludf.DUMMYFUNCTION("""COMPUTED_VALUE"""),45719.5906154398)</f>
        <v>45719.590615439804</v>
      </c>
      <c r="B132" s="3" t="str">
        <f ca="1">IFERROR(__xludf.DUMMYFUNCTION("""COMPUTED_VALUE"""),"ksmith8@normanps.org")</f>
        <v>ksmith8@normanps.org</v>
      </c>
      <c r="C132" s="3"/>
      <c r="D132" s="3">
        <f ca="1">IFERROR(__xludf.DUMMYFUNCTION("""COMPUTED_VALUE"""),2)</f>
        <v>2</v>
      </c>
      <c r="E132" s="3"/>
      <c r="F132" s="6"/>
      <c r="G132" s="3"/>
      <c r="H132" s="3"/>
      <c r="I132" s="3" t="str">
        <f ca="1">IFERROR(__xludf.DUMMYFUNCTION("""COMPUTED_VALUE"""),"Explore")</f>
        <v>Explore</v>
      </c>
      <c r="J132" s="3" t="str">
        <f ca="1">IFERROR(__xludf.DUMMYFUNCTION("""COMPUTED_VALUE"""),"ELA")</f>
        <v>ELA</v>
      </c>
      <c r="K132" s="3" t="str">
        <f ca="1">IFERROR(__xludf.DUMMYFUNCTION("""COMPUTED_VALUE"""),"HS multi-grade class")</f>
        <v>HS multi-grade class</v>
      </c>
      <c r="L132" s="3"/>
      <c r="M132" s="3"/>
      <c r="N132" s="3"/>
      <c r="O132" s="3"/>
      <c r="P132" s="3"/>
      <c r="Q132" s="3"/>
      <c r="R132" s="3"/>
      <c r="S132" s="3"/>
      <c r="T132" s="3" t="str">
        <f ca="1">IFERROR(__xludf.DUMMYFUNCTION("""COMPUTED_VALUE"""),"Norman North")</f>
        <v>Norman North</v>
      </c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15">
      <c r="A133" s="2">
        <f ca="1">IFERROR(__xludf.DUMMYFUNCTION("""COMPUTED_VALUE"""),45719.5908920949)</f>
        <v>45719.5908920949</v>
      </c>
      <c r="B133" s="3" t="str">
        <f ca="1">IFERROR(__xludf.DUMMYFUNCTION("""COMPUTED_VALUE"""),"ksmith8@normanps.org")</f>
        <v>ksmith8@normanps.org</v>
      </c>
      <c r="C133" s="3"/>
      <c r="D133" s="3">
        <f ca="1">IFERROR(__xludf.DUMMYFUNCTION("""COMPUTED_VALUE"""),1)</f>
        <v>1</v>
      </c>
      <c r="E133" s="3"/>
      <c r="F133" s="6"/>
      <c r="G133" s="3"/>
      <c r="H133" s="3"/>
      <c r="I133" s="3" t="str">
        <f ca="1">IFERROR(__xludf.DUMMYFUNCTION("""COMPUTED_VALUE"""),"Explore")</f>
        <v>Explore</v>
      </c>
      <c r="J133" s="3" t="str">
        <f ca="1">IFERROR(__xludf.DUMMYFUNCTION("""COMPUTED_VALUE"""),"Art")</f>
        <v>Art</v>
      </c>
      <c r="K133" s="3" t="str">
        <f ca="1">IFERROR(__xludf.DUMMYFUNCTION("""COMPUTED_VALUE"""),"HS multi-grade class")</f>
        <v>HS multi-grade class</v>
      </c>
      <c r="L133" s="3"/>
      <c r="M133" s="3"/>
      <c r="N133" s="3"/>
      <c r="O133" s="3"/>
      <c r="P133" s="3"/>
      <c r="Q133" s="3"/>
      <c r="R133" s="3"/>
      <c r="S133" s="3"/>
      <c r="T133" s="3" t="str">
        <f ca="1">IFERROR(__xludf.DUMMYFUNCTION("""COMPUTED_VALUE"""),"Norman North")</f>
        <v>Norman North</v>
      </c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15">
      <c r="A134" s="2">
        <f ca="1">IFERROR(__xludf.DUMMYFUNCTION("""COMPUTED_VALUE"""),45719.5912551851)</f>
        <v>45719.5912551851</v>
      </c>
      <c r="B134" s="3" t="str">
        <f ca="1">IFERROR(__xludf.DUMMYFUNCTION("""COMPUTED_VALUE"""),"ksmith8@normanps.org")</f>
        <v>ksmith8@normanps.org</v>
      </c>
      <c r="C134" s="3"/>
      <c r="D134" s="3">
        <f ca="1">IFERROR(__xludf.DUMMYFUNCTION("""COMPUTED_VALUE"""),3)</f>
        <v>3</v>
      </c>
      <c r="E134" s="3"/>
      <c r="F134" s="6"/>
      <c r="G134" s="3"/>
      <c r="H134" s="3"/>
      <c r="I134" s="3" t="str">
        <f ca="1">IFERROR(__xludf.DUMMYFUNCTION("""COMPUTED_VALUE"""),"Include")</f>
        <v>Include</v>
      </c>
      <c r="J134" s="3" t="str">
        <f ca="1">IFERROR(__xludf.DUMMYFUNCTION("""COMPUTED_VALUE"""),"ELA")</f>
        <v>ELA</v>
      </c>
      <c r="K134" s="3" t="str">
        <f ca="1">IFERROR(__xludf.DUMMYFUNCTION("""COMPUTED_VALUE"""),"HS multi-grade class")</f>
        <v>HS multi-grade class</v>
      </c>
      <c r="L134" s="3"/>
      <c r="M134" s="3"/>
      <c r="N134" s="3"/>
      <c r="O134" s="3"/>
      <c r="P134" s="3"/>
      <c r="Q134" s="3"/>
      <c r="R134" s="3"/>
      <c r="S134" s="3"/>
      <c r="T134" s="3" t="str">
        <f ca="1">IFERROR(__xludf.DUMMYFUNCTION("""COMPUTED_VALUE"""),"Norman North")</f>
        <v>Norman North</v>
      </c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15">
      <c r="A135" s="2">
        <f ca="1">IFERROR(__xludf.DUMMYFUNCTION("""COMPUTED_VALUE"""),45750.4870269444)</f>
        <v>45750.4870269444</v>
      </c>
      <c r="B135" s="3" t="str">
        <f ca="1">IFERROR(__xludf.DUMMYFUNCTION("""COMPUTED_VALUE"""),"ksmith8@normanps.org")</f>
        <v>ksmith8@normanps.org</v>
      </c>
      <c r="C135" s="3"/>
      <c r="D135" s="3">
        <f ca="1">IFERROR(__xludf.DUMMYFUNCTION("""COMPUTED_VALUE"""),1)</f>
        <v>1</v>
      </c>
      <c r="E135" s="3"/>
      <c r="F135" s="6">
        <f ca="1">IFERROR(__xludf.DUMMYFUNCTION("""COMPUTED_VALUE"""),500)</f>
        <v>500</v>
      </c>
      <c r="G135" s="3">
        <f ca="1">IFERROR(__xludf.DUMMYFUNCTION("""COMPUTED_VALUE"""),6)</f>
        <v>6</v>
      </c>
      <c r="H135" s="3"/>
      <c r="I135" s="3" t="str">
        <f ca="1">IFERROR(__xludf.DUMMYFUNCTION("""COMPUTED_VALUE"""),"Explore")</f>
        <v>Explore</v>
      </c>
      <c r="J135" s="3" t="str">
        <f ca="1">IFERROR(__xludf.DUMMYFUNCTION("""COMPUTED_VALUE"""),"ELA")</f>
        <v>ELA</v>
      </c>
      <c r="K135" s="3" t="str">
        <f ca="1">IFERROR(__xludf.DUMMYFUNCTION("""COMPUTED_VALUE"""),"Twelfth")</f>
        <v>Twelfth</v>
      </c>
      <c r="L135" s="3"/>
      <c r="M135" s="3">
        <f ca="1">IFERROR(__xludf.DUMMYFUNCTION("""COMPUTED_VALUE"""),3)</f>
        <v>3</v>
      </c>
      <c r="N135" s="3"/>
      <c r="O135" s="3"/>
      <c r="P135" s="3" t="str">
        <f ca="1">IFERROR(__xludf.DUMMYFUNCTION("""COMPUTED_VALUE"""),"Pioneer Library System Norman Public Library West")</f>
        <v>Pioneer Library System Norman Public Library West</v>
      </c>
      <c r="Q135" s="3" t="str">
        <f ca="1">IFERROR(__xludf.DUMMYFUNCTION("""COMPUTED_VALUE"""),"OKSL Leadership Meeting as Past Chair")</f>
        <v>OKSL Leadership Meeting as Past Chair</v>
      </c>
      <c r="R135" s="3" t="str">
        <f ca="1">IFERROR(__xludf.DUMMYFUNCTION("""COMPUTED_VALUE"""),"Pioneer Library System Norman Public Library West SPED/CREW Makerspace")</f>
        <v>Pioneer Library System Norman Public Library West SPED/CREW Makerspace</v>
      </c>
      <c r="S135" s="3"/>
      <c r="T135" s="3" t="str">
        <f ca="1">IFERROR(__xludf.DUMMYFUNCTION("""COMPUTED_VALUE"""),"Norman North")</f>
        <v>Norman North</v>
      </c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15">
      <c r="A136" s="2">
        <f ca="1">IFERROR(__xludf.DUMMYFUNCTION("""COMPUTED_VALUE"""),45750.4878464467)</f>
        <v>45750.487846446696</v>
      </c>
      <c r="B136" s="3" t="str">
        <f ca="1">IFERROR(__xludf.DUMMYFUNCTION("""COMPUTED_VALUE"""),"ksmith8@normanps.org")</f>
        <v>ksmith8@normanps.org</v>
      </c>
      <c r="C136" s="3"/>
      <c r="D136" s="3">
        <f ca="1">IFERROR(__xludf.DUMMYFUNCTION("""COMPUTED_VALUE"""),4)</f>
        <v>4</v>
      </c>
      <c r="E136" s="3"/>
      <c r="F136" s="6"/>
      <c r="G136" s="3"/>
      <c r="H136" s="3"/>
      <c r="I136" s="3" t="str">
        <f ca="1">IFERROR(__xludf.DUMMYFUNCTION("""COMPUTED_VALUE"""),"Include")</f>
        <v>Include</v>
      </c>
      <c r="J136" s="3" t="str">
        <f ca="1">IFERROR(__xludf.DUMMYFUNCTION("""COMPUTED_VALUE"""),"Social Studies")</f>
        <v>Social Studies</v>
      </c>
      <c r="K136" s="3" t="str">
        <f ca="1">IFERROR(__xludf.DUMMYFUNCTION("""COMPUTED_VALUE"""),"HS multi-grade class")</f>
        <v>HS multi-grade class</v>
      </c>
      <c r="L136" s="3"/>
      <c r="M136" s="3">
        <f ca="1">IFERROR(__xludf.DUMMYFUNCTION("""COMPUTED_VALUE"""),6)</f>
        <v>6</v>
      </c>
      <c r="N136" s="3"/>
      <c r="O136" s="3"/>
      <c r="P136" s="3"/>
      <c r="Q136" s="3" t="str">
        <f ca="1">IFERROR(__xludf.DUMMYFUNCTION("""COMPUTED_VALUE"""),"North Academic Council as Library/Media/Department Chair")</f>
        <v>North Academic Council as Library/Media/Department Chair</v>
      </c>
      <c r="R136" s="3"/>
      <c r="S136" s="3"/>
      <c r="T136" s="3" t="str">
        <f ca="1">IFERROR(__xludf.DUMMYFUNCTION("""COMPUTED_VALUE"""),"Norman North")</f>
        <v>Norman North</v>
      </c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15">
      <c r="A137" s="2">
        <f ca="1">IFERROR(__xludf.DUMMYFUNCTION("""COMPUTED_VALUE"""),45750.4884174421)</f>
        <v>45750.488417442102</v>
      </c>
      <c r="B137" s="3" t="str">
        <f ca="1">IFERROR(__xludf.DUMMYFUNCTION("""COMPUTED_VALUE"""),"ksmith8@normanps.org")</f>
        <v>ksmith8@normanps.org</v>
      </c>
      <c r="C137" s="3"/>
      <c r="D137" s="3">
        <f ca="1">IFERROR(__xludf.DUMMYFUNCTION("""COMPUTED_VALUE"""),1)</f>
        <v>1</v>
      </c>
      <c r="E137" s="3"/>
      <c r="F137" s="6"/>
      <c r="G137" s="3"/>
      <c r="H137" s="3"/>
      <c r="I137" s="3" t="str">
        <f ca="1">IFERROR(__xludf.DUMMYFUNCTION("""COMPUTED_VALUE"""),"Include")</f>
        <v>Include</v>
      </c>
      <c r="J137" s="3" t="str">
        <f ca="1">IFERROR(__xludf.DUMMYFUNCTION("""COMPUTED_VALUE"""),"Direct Instruction")</f>
        <v>Direct Instruction</v>
      </c>
      <c r="K137" s="3" t="str">
        <f ca="1">IFERROR(__xludf.DUMMYFUNCTION("""COMPUTED_VALUE"""),"Autism/SPED multi-level high school")</f>
        <v>Autism/SPED multi-level high school</v>
      </c>
      <c r="L137" s="3"/>
      <c r="M137" s="3"/>
      <c r="N137" s="3"/>
      <c r="O137" s="3"/>
      <c r="P137" s="3"/>
      <c r="Q137" s="3" t="str">
        <f ca="1">IFERROR(__xludf.DUMMYFUNCTION("""COMPUTED_VALUE"""),"North New Teacher Meetings as North New Teacher Liaison")</f>
        <v>North New Teacher Meetings as North New Teacher Liaison</v>
      </c>
      <c r="R137" s="3"/>
      <c r="S137" s="3"/>
      <c r="T137" s="3" t="str">
        <f ca="1">IFERROR(__xludf.DUMMYFUNCTION("""COMPUTED_VALUE"""),"Norman North")</f>
        <v>Norman North</v>
      </c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15">
      <c r="A138" s="2">
        <f ca="1">IFERROR(__xludf.DUMMYFUNCTION("""COMPUTED_VALUE"""),45750.4888001388)</f>
        <v>45750.488800138803</v>
      </c>
      <c r="B138" s="3" t="str">
        <f ca="1">IFERROR(__xludf.DUMMYFUNCTION("""COMPUTED_VALUE"""),"ksmith8@normanps.org")</f>
        <v>ksmith8@normanps.org</v>
      </c>
      <c r="C138" s="3"/>
      <c r="D138" s="3">
        <f ca="1">IFERROR(__xludf.DUMMYFUNCTION("""COMPUTED_VALUE"""),1)</f>
        <v>1</v>
      </c>
      <c r="E138" s="3"/>
      <c r="F138" s="6"/>
      <c r="G138" s="3"/>
      <c r="H138" s="3"/>
      <c r="I138" s="3" t="str">
        <f ca="1">IFERROR(__xludf.DUMMYFUNCTION("""COMPUTED_VALUE"""),"Explore")</f>
        <v>Explore</v>
      </c>
      <c r="J138" s="3" t="str">
        <f ca="1">IFERROR(__xludf.DUMMYFUNCTION("""COMPUTED_VALUE"""),"Direct Instruction")</f>
        <v>Direct Instruction</v>
      </c>
      <c r="K138" s="3" t="str">
        <f ca="1">IFERROR(__xludf.DUMMYFUNCTION("""COMPUTED_VALUE"""),"Autism/SPED multi-level high school")</f>
        <v>Autism/SPED multi-level high school</v>
      </c>
      <c r="L138" s="3"/>
      <c r="M138" s="3"/>
      <c r="N138" s="3"/>
      <c r="O138" s="3"/>
      <c r="P138" s="3"/>
      <c r="Q138" s="3"/>
      <c r="R138" s="3"/>
      <c r="S138" s="3"/>
      <c r="T138" s="3" t="str">
        <f ca="1">IFERROR(__xludf.DUMMYFUNCTION("""COMPUTED_VALUE"""),"Norman North")</f>
        <v>Norman North</v>
      </c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" x14ac:dyDescent="0.15">
      <c r="A139" s="2">
        <f ca="1">IFERROR(__xludf.DUMMYFUNCTION("""COMPUTED_VALUE"""),45750.4892309953)</f>
        <v>45750.489230995299</v>
      </c>
      <c r="B139" s="3" t="str">
        <f ca="1">IFERROR(__xludf.DUMMYFUNCTION("""COMPUTED_VALUE"""),"ksmith8@normanps.org")</f>
        <v>ksmith8@normanps.org</v>
      </c>
      <c r="C139" s="3"/>
      <c r="D139" s="3">
        <f ca="1">IFERROR(__xludf.DUMMYFUNCTION("""COMPUTED_VALUE"""),3)</f>
        <v>3</v>
      </c>
      <c r="E139" s="3"/>
      <c r="F139" s="6"/>
      <c r="G139" s="3"/>
      <c r="H139" s="3"/>
      <c r="I139" s="3" t="str">
        <f ca="1">IFERROR(__xludf.DUMMYFUNCTION("""COMPUTED_VALUE"""),"Inquire")</f>
        <v>Inquire</v>
      </c>
      <c r="J139" s="3" t="str">
        <f ca="1">IFERROR(__xludf.DUMMYFUNCTION("""COMPUTED_VALUE"""),"ELA")</f>
        <v>ELA</v>
      </c>
      <c r="K139" s="3" t="str">
        <f ca="1">IFERROR(__xludf.DUMMYFUNCTION("""COMPUTED_VALUE"""),"Twelfth")</f>
        <v>Twelfth</v>
      </c>
      <c r="L139" s="3"/>
      <c r="M139" s="3"/>
      <c r="N139" s="3"/>
      <c r="O139" s="3"/>
      <c r="P139" s="3"/>
      <c r="Q139" s="3"/>
      <c r="R139" s="3"/>
      <c r="S139" s="3"/>
      <c r="T139" s="3" t="str">
        <f ca="1">IFERROR(__xludf.DUMMYFUNCTION("""COMPUTED_VALUE"""),"Norman North")</f>
        <v>Norman North</v>
      </c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" x14ac:dyDescent="0.15">
      <c r="A140" s="2">
        <f ca="1">IFERROR(__xludf.DUMMYFUNCTION("""COMPUTED_VALUE"""),45750.4894806713)</f>
        <v>45750.489480671298</v>
      </c>
      <c r="B140" s="3" t="str">
        <f ca="1">IFERROR(__xludf.DUMMYFUNCTION("""COMPUTED_VALUE"""),"ksmith8@normanps.org")</f>
        <v>ksmith8@normanps.org</v>
      </c>
      <c r="C140" s="3"/>
      <c r="D140" s="3">
        <f ca="1">IFERROR(__xludf.DUMMYFUNCTION("""COMPUTED_VALUE"""),4)</f>
        <v>4</v>
      </c>
      <c r="E140" s="3"/>
      <c r="F140" s="6"/>
      <c r="G140" s="3"/>
      <c r="H140" s="3"/>
      <c r="I140" s="3" t="str">
        <f ca="1">IFERROR(__xludf.DUMMYFUNCTION("""COMPUTED_VALUE"""),"Explore")</f>
        <v>Explore</v>
      </c>
      <c r="J140" s="3" t="str">
        <f ca="1">IFERROR(__xludf.DUMMYFUNCTION("""COMPUTED_VALUE"""),"ELA")</f>
        <v>ELA</v>
      </c>
      <c r="K140" s="3" t="str">
        <f ca="1">IFERROR(__xludf.DUMMYFUNCTION("""COMPUTED_VALUE"""),"HS multi-grade class")</f>
        <v>HS multi-grade class</v>
      </c>
      <c r="L140" s="3"/>
      <c r="M140" s="3"/>
      <c r="N140" s="3"/>
      <c r="O140" s="3"/>
      <c r="P140" s="3"/>
      <c r="Q140" s="3"/>
      <c r="R140" s="3"/>
      <c r="S140" s="3"/>
      <c r="T140" s="3" t="str">
        <f ca="1">IFERROR(__xludf.DUMMYFUNCTION("""COMPUTED_VALUE"""),"Norman North")</f>
        <v>Norman North</v>
      </c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" x14ac:dyDescent="0.15">
      <c r="A141" s="2">
        <f ca="1">IFERROR(__xludf.DUMMYFUNCTION("""COMPUTED_VALUE"""),45750.4905473148)</f>
        <v>45750.490547314803</v>
      </c>
      <c r="B141" s="3" t="str">
        <f ca="1">IFERROR(__xludf.DUMMYFUNCTION("""COMPUTED_VALUE"""),"ksmith8@normanps.org")</f>
        <v>ksmith8@normanps.org</v>
      </c>
      <c r="C141" s="3"/>
      <c r="D141" s="3">
        <f ca="1">IFERROR(__xludf.DUMMYFUNCTION("""COMPUTED_VALUE"""),22)</f>
        <v>22</v>
      </c>
      <c r="E141" s="3"/>
      <c r="F141" s="6"/>
      <c r="G141" s="3">
        <f ca="1">IFERROR(__xludf.DUMMYFUNCTION("""COMPUTED_VALUE"""),4)</f>
        <v>4</v>
      </c>
      <c r="H141" s="3"/>
      <c r="I141" s="3" t="str">
        <f ca="1">IFERROR(__xludf.DUMMYFUNCTION("""COMPUTED_VALUE"""),"Inquire")</f>
        <v>Inquire</v>
      </c>
      <c r="J141" s="3" t="str">
        <f ca="1">IFERROR(__xludf.DUMMYFUNCTION("""COMPUTED_VALUE"""),"ELA")</f>
        <v>ELA</v>
      </c>
      <c r="K141" s="3" t="str">
        <f ca="1">IFERROR(__xludf.DUMMYFUNCTION("""COMPUTED_VALUE"""),"Eleventh")</f>
        <v>Eleventh</v>
      </c>
      <c r="L141" s="3"/>
      <c r="M141" s="3">
        <f ca="1">IFERROR(__xludf.DUMMYFUNCTION("""COMPUTED_VALUE"""),31)</f>
        <v>31</v>
      </c>
      <c r="N141" s="3"/>
      <c r="O141" s="3"/>
      <c r="P141" s="3"/>
      <c r="Q141" s="3" t="str">
        <f ca="1">IFERROR(__xludf.DUMMYFUNCTION("""COMPUTED_VALUE"""),"North Academic Council as Library/Media/Department Chair")</f>
        <v>North Academic Council as Library/Media/Department Chair</v>
      </c>
      <c r="R141" s="3"/>
      <c r="S141" s="3"/>
      <c r="T141" s="3" t="str">
        <f ca="1">IFERROR(__xludf.DUMMYFUNCTION("""COMPUTED_VALUE"""),"Norman North")</f>
        <v>Norman North</v>
      </c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" x14ac:dyDescent="0.15">
      <c r="A142" s="2">
        <f ca="1">IFERROR(__xludf.DUMMYFUNCTION("""COMPUTED_VALUE"""),45750.490935625)</f>
        <v>45750.490935624999</v>
      </c>
      <c r="B142" s="3" t="str">
        <f ca="1">IFERROR(__xludf.DUMMYFUNCTION("""COMPUTED_VALUE"""),"ksmith8@normanps.org")</f>
        <v>ksmith8@normanps.org</v>
      </c>
      <c r="C142" s="3"/>
      <c r="D142" s="3">
        <f ca="1">IFERROR(__xludf.DUMMYFUNCTION("""COMPUTED_VALUE"""),6)</f>
        <v>6</v>
      </c>
      <c r="E142" s="3"/>
      <c r="F142" s="6"/>
      <c r="G142" s="3"/>
      <c r="H142" s="3"/>
      <c r="I142" s="3" t="str">
        <f ca="1">IFERROR(__xludf.DUMMYFUNCTION("""COMPUTED_VALUE"""),"Inquire")</f>
        <v>Inquire</v>
      </c>
      <c r="J142" s="3" t="str">
        <f ca="1">IFERROR(__xludf.DUMMYFUNCTION("""COMPUTED_VALUE"""),"Social Studies")</f>
        <v>Social Studies</v>
      </c>
      <c r="K142" s="3" t="str">
        <f ca="1">IFERROR(__xludf.DUMMYFUNCTION("""COMPUTED_VALUE"""),"HS multi-grade class")</f>
        <v>HS multi-grade class</v>
      </c>
      <c r="L142" s="3"/>
      <c r="M142" s="3"/>
      <c r="N142" s="3"/>
      <c r="O142" s="3"/>
      <c r="P142" s="3"/>
      <c r="Q142" s="3"/>
      <c r="R142" s="3"/>
      <c r="S142" s="3"/>
      <c r="T142" s="3" t="str">
        <f ca="1">IFERROR(__xludf.DUMMYFUNCTION("""COMPUTED_VALUE"""),"Norman North")</f>
        <v>Norman North</v>
      </c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" x14ac:dyDescent="0.15">
      <c r="A143" s="2">
        <f ca="1">IFERROR(__xludf.DUMMYFUNCTION("""COMPUTED_VALUE"""),45750.4912232523)</f>
        <v>45750.491223252298</v>
      </c>
      <c r="B143" s="3" t="str">
        <f ca="1">IFERROR(__xludf.DUMMYFUNCTION("""COMPUTED_VALUE"""),"ksmith8@normanps.org")</f>
        <v>ksmith8@normanps.org</v>
      </c>
      <c r="C143" s="3"/>
      <c r="D143" s="3">
        <f ca="1">IFERROR(__xludf.DUMMYFUNCTION("""COMPUTED_VALUE"""),12)</f>
        <v>12</v>
      </c>
      <c r="E143" s="3"/>
      <c r="F143" s="6"/>
      <c r="G143" s="3"/>
      <c r="H143" s="3"/>
      <c r="I143" s="3" t="str">
        <f ca="1">IFERROR(__xludf.DUMMYFUNCTION("""COMPUTED_VALUE"""),"Inquire")</f>
        <v>Inquire</v>
      </c>
      <c r="J143" s="3" t="str">
        <f ca="1">IFERROR(__xludf.DUMMYFUNCTION("""COMPUTED_VALUE"""),"Science")</f>
        <v>Science</v>
      </c>
      <c r="K143" s="3" t="str">
        <f ca="1">IFERROR(__xludf.DUMMYFUNCTION("""COMPUTED_VALUE"""),"HS multi-grade class")</f>
        <v>HS multi-grade class</v>
      </c>
      <c r="L143" s="3"/>
      <c r="M143" s="3"/>
      <c r="N143" s="3"/>
      <c r="O143" s="3"/>
      <c r="P143" s="3"/>
      <c r="Q143" s="3"/>
      <c r="R143" s="3"/>
      <c r="S143" s="3"/>
      <c r="T143" s="3" t="str">
        <f ca="1">IFERROR(__xludf.DUMMYFUNCTION("""COMPUTED_VALUE"""),"Norman North")</f>
        <v>Norman North</v>
      </c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" x14ac:dyDescent="0.15">
      <c r="A144" s="2">
        <f ca="1">IFERROR(__xludf.DUMMYFUNCTION("""COMPUTED_VALUE"""),45750.4915947685)</f>
        <v>45750.4915947685</v>
      </c>
      <c r="B144" s="3" t="str">
        <f ca="1">IFERROR(__xludf.DUMMYFUNCTION("""COMPUTED_VALUE"""),"ksmith8@normanps.org")</f>
        <v>ksmith8@normanps.org</v>
      </c>
      <c r="C144" s="3"/>
      <c r="D144" s="3">
        <f ca="1">IFERROR(__xludf.DUMMYFUNCTION("""COMPUTED_VALUE"""),4)</f>
        <v>4</v>
      </c>
      <c r="E144" s="3"/>
      <c r="F144" s="6"/>
      <c r="G144" s="3"/>
      <c r="H144" s="3"/>
      <c r="I144" s="3" t="str">
        <f ca="1">IFERROR(__xludf.DUMMYFUNCTION("""COMPUTED_VALUE"""),"Inquire")</f>
        <v>Inquire</v>
      </c>
      <c r="J144" s="3" t="str">
        <f ca="1">IFERROR(__xludf.DUMMYFUNCTION("""COMPUTED_VALUE"""),"ELA")</f>
        <v>ELA</v>
      </c>
      <c r="K144" s="3" t="str">
        <f ca="1">IFERROR(__xludf.DUMMYFUNCTION("""COMPUTED_VALUE"""),"Twelfth")</f>
        <v>Twelfth</v>
      </c>
      <c r="L144" s="3"/>
      <c r="M144" s="3"/>
      <c r="N144" s="3"/>
      <c r="O144" s="3"/>
      <c r="P144" s="3"/>
      <c r="Q144" s="3"/>
      <c r="R144" s="3"/>
      <c r="S144" s="3"/>
      <c r="T144" s="3" t="str">
        <f ca="1">IFERROR(__xludf.DUMMYFUNCTION("""COMPUTED_VALUE"""),"Norman North")</f>
        <v>Norman North</v>
      </c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" x14ac:dyDescent="0.15">
      <c r="A145" s="2">
        <f ca="1">IFERROR(__xludf.DUMMYFUNCTION("""COMPUTED_VALUE"""),45750.4922105902)</f>
        <v>45750.492210590201</v>
      </c>
      <c r="B145" s="3" t="str">
        <f ca="1">IFERROR(__xludf.DUMMYFUNCTION("""COMPUTED_VALUE"""),"ksmith8@normanps.org")</f>
        <v>ksmith8@normanps.org</v>
      </c>
      <c r="C145" s="3"/>
      <c r="D145" s="3">
        <f ca="1">IFERROR(__xludf.DUMMYFUNCTION("""COMPUTED_VALUE"""),1)</f>
        <v>1</v>
      </c>
      <c r="E145" s="3"/>
      <c r="F145" s="6"/>
      <c r="G145" s="3"/>
      <c r="H145" s="3"/>
      <c r="I145" s="3" t="str">
        <f ca="1">IFERROR(__xludf.DUMMYFUNCTION("""COMPUTED_VALUE"""),"Inquire")</f>
        <v>Inquire</v>
      </c>
      <c r="J145" s="3" t="str">
        <f ca="1">IFERROR(__xludf.DUMMYFUNCTION("""COMPUTED_VALUE"""),"Fine Arts (Debate, Acting, etc)")</f>
        <v>Fine Arts (Debate, Acting, etc)</v>
      </c>
      <c r="K145" s="3" t="str">
        <f ca="1">IFERROR(__xludf.DUMMYFUNCTION("""COMPUTED_VALUE"""),"HS multi-grade class")</f>
        <v>HS multi-grade class</v>
      </c>
      <c r="L145" s="3"/>
      <c r="M145" s="3"/>
      <c r="N145" s="3"/>
      <c r="O145" s="3"/>
      <c r="P145" s="3"/>
      <c r="Q145" s="3"/>
      <c r="R145" s="3"/>
      <c r="S145" s="3"/>
      <c r="T145" s="3" t="str">
        <f ca="1">IFERROR(__xludf.DUMMYFUNCTION("""COMPUTED_VALUE"""),"Norman North")</f>
        <v>Norman North</v>
      </c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" x14ac:dyDescent="0.15">
      <c r="A146" s="2">
        <f ca="1">IFERROR(__xludf.DUMMYFUNCTION("""COMPUTED_VALUE"""),45750.4925253472)</f>
        <v>45750.492525347203</v>
      </c>
      <c r="B146" s="3" t="str">
        <f ca="1">IFERROR(__xludf.DUMMYFUNCTION("""COMPUTED_VALUE"""),"ksmith8@normanps.org")</f>
        <v>ksmith8@normanps.org</v>
      </c>
      <c r="C146" s="3"/>
      <c r="D146" s="3">
        <f ca="1">IFERROR(__xludf.DUMMYFUNCTION("""COMPUTED_VALUE"""),3)</f>
        <v>3</v>
      </c>
      <c r="E146" s="3"/>
      <c r="F146" s="6"/>
      <c r="G146" s="3"/>
      <c r="H146" s="3"/>
      <c r="I146" s="3" t="str">
        <f ca="1">IFERROR(__xludf.DUMMYFUNCTION("""COMPUTED_VALUE"""),"Include")</f>
        <v>Include</v>
      </c>
      <c r="J146" s="3" t="str">
        <f ca="1">IFERROR(__xludf.DUMMYFUNCTION("""COMPUTED_VALUE"""),"ELA")</f>
        <v>ELA</v>
      </c>
      <c r="K146" s="3" t="str">
        <f ca="1">IFERROR(__xludf.DUMMYFUNCTION("""COMPUTED_VALUE"""),"Eleventh")</f>
        <v>Eleventh</v>
      </c>
      <c r="L146" s="3"/>
      <c r="M146" s="3"/>
      <c r="N146" s="3"/>
      <c r="O146" s="3"/>
      <c r="P146" s="3"/>
      <c r="Q146" s="3"/>
      <c r="R146" s="3"/>
      <c r="S146" s="3"/>
      <c r="T146" s="3" t="str">
        <f ca="1">IFERROR(__xludf.DUMMYFUNCTION("""COMPUTED_VALUE"""),"Norman North")</f>
        <v>Norman North</v>
      </c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" x14ac:dyDescent="0.15">
      <c r="A147" s="2">
        <f ca="1">IFERROR(__xludf.DUMMYFUNCTION("""COMPUTED_VALUE"""),45785.4904112847)</f>
        <v>45785.4904112847</v>
      </c>
      <c r="B147" s="3" t="str">
        <f ca="1">IFERROR(__xludf.DUMMYFUNCTION("""COMPUTED_VALUE"""),"ksmith8@normanps.org")</f>
        <v>ksmith8@normanps.org</v>
      </c>
      <c r="C147" s="3"/>
      <c r="D147" s="3">
        <f ca="1">IFERROR(__xludf.DUMMYFUNCTION("""COMPUTED_VALUE"""),1)</f>
        <v>1</v>
      </c>
      <c r="E147" s="3"/>
      <c r="F147" s="6"/>
      <c r="G147" s="3">
        <f ca="1">IFERROR(__xludf.DUMMYFUNCTION("""COMPUTED_VALUE"""),38)</f>
        <v>38</v>
      </c>
      <c r="H147" s="3"/>
      <c r="I147" s="3" t="str">
        <f ca="1">IFERROR(__xludf.DUMMYFUNCTION("""COMPUTED_VALUE"""),"Include")</f>
        <v>Include</v>
      </c>
      <c r="J147" s="3" t="str">
        <f ca="1">IFERROR(__xludf.DUMMYFUNCTION("""COMPUTED_VALUE"""),"Direct Instruction")</f>
        <v>Direct Instruction</v>
      </c>
      <c r="K147" s="3" t="str">
        <f ca="1">IFERROR(__xludf.DUMMYFUNCTION("""COMPUTED_VALUE"""),"Autism/SPED multi-level high school")</f>
        <v>Autism/SPED multi-level high school</v>
      </c>
      <c r="L147" s="3"/>
      <c r="M147" s="3">
        <f ca="1">IFERROR(__xludf.DUMMYFUNCTION("""COMPUTED_VALUE"""),85)</f>
        <v>85</v>
      </c>
      <c r="N147" s="3"/>
      <c r="O147" s="3"/>
      <c r="P147" s="3" t="str">
        <f ca="1">IFERROR(__xludf.DUMMYFUNCTION("""COMPUTED_VALUE"""),"Pioneer Library System Norman Public Library West")</f>
        <v>Pioneer Library System Norman Public Library West</v>
      </c>
      <c r="Q147" s="3" t="str">
        <f ca="1">IFERROR(__xludf.DUMMYFUNCTION("""COMPUTED_VALUE"""),"North Academic Council as Library/Media/Department Chair")</f>
        <v>North Academic Council as Library/Media/Department Chair</v>
      </c>
      <c r="R147" s="3" t="str">
        <f ca="1">IFERROR(__xludf.DUMMYFUNCTION("""COMPUTED_VALUE"""),"SPED/CREW Makerspace ")</f>
        <v xml:space="preserve">SPED/CREW Makerspace </v>
      </c>
      <c r="S147" s="3"/>
      <c r="T147" s="3" t="str">
        <f ca="1">IFERROR(__xludf.DUMMYFUNCTION("""COMPUTED_VALUE"""),"Norman North")</f>
        <v>Norman North</v>
      </c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" x14ac:dyDescent="0.15">
      <c r="A148" s="2">
        <f ca="1">IFERROR(__xludf.DUMMYFUNCTION("""COMPUTED_VALUE"""),45785.5921718287)</f>
        <v>45785.592171828699</v>
      </c>
      <c r="B148" s="3" t="str">
        <f ca="1">IFERROR(__xludf.DUMMYFUNCTION("""COMPUTED_VALUE"""),"ksmith8@normanps.org")</f>
        <v>ksmith8@normanps.org</v>
      </c>
      <c r="C148" s="3"/>
      <c r="D148" s="3">
        <f ca="1">IFERROR(__xludf.DUMMYFUNCTION("""COMPUTED_VALUE"""),9)</f>
        <v>9</v>
      </c>
      <c r="E148" s="3"/>
      <c r="F148" s="6"/>
      <c r="G148" s="3"/>
      <c r="H148" s="3"/>
      <c r="I148" s="3" t="str">
        <f ca="1">IFERROR(__xludf.DUMMYFUNCTION("""COMPUTED_VALUE"""),"Inquire")</f>
        <v>Inquire</v>
      </c>
      <c r="J148" s="3" t="str">
        <f ca="1">IFERROR(__xludf.DUMMYFUNCTION("""COMPUTED_VALUE"""),"ELA")</f>
        <v>ELA</v>
      </c>
      <c r="K148" s="3" t="str">
        <f ca="1">IFERROR(__xludf.DUMMYFUNCTION("""COMPUTED_VALUE"""),"Eleventh")</f>
        <v>Eleventh</v>
      </c>
      <c r="L148" s="3"/>
      <c r="M148" s="3"/>
      <c r="N148" s="3"/>
      <c r="O148" s="3"/>
      <c r="P148" s="3"/>
      <c r="Q148" s="3"/>
      <c r="R148" s="3"/>
      <c r="S148" s="3"/>
      <c r="T148" s="3" t="str">
        <f ca="1">IFERROR(__xludf.DUMMYFUNCTION("""COMPUTED_VALUE"""),"Norman North")</f>
        <v>Norman North</v>
      </c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" x14ac:dyDescent="0.15">
      <c r="A149" s="2">
        <f ca="1">IFERROR(__xludf.DUMMYFUNCTION("""COMPUTED_VALUE"""),45785.594242199)</f>
        <v>45785.594242198997</v>
      </c>
      <c r="B149" s="3" t="str">
        <f ca="1">IFERROR(__xludf.DUMMYFUNCTION("""COMPUTED_VALUE"""),"ksmith8@normanps.org")</f>
        <v>ksmith8@normanps.org</v>
      </c>
      <c r="C149" s="3"/>
      <c r="D149" s="3">
        <f ca="1">IFERROR(__xludf.DUMMYFUNCTION("""COMPUTED_VALUE"""),4)</f>
        <v>4</v>
      </c>
      <c r="E149" s="3"/>
      <c r="F149" s="6"/>
      <c r="G149" s="3"/>
      <c r="H149" s="3"/>
      <c r="I149" s="3" t="str">
        <f ca="1">IFERROR(__xludf.DUMMYFUNCTION("""COMPUTED_VALUE"""),"Inquire")</f>
        <v>Inquire</v>
      </c>
      <c r="J149" s="3" t="str">
        <f ca="1">IFERROR(__xludf.DUMMYFUNCTION("""COMPUTED_VALUE"""),"Science")</f>
        <v>Science</v>
      </c>
      <c r="K149" s="3" t="str">
        <f ca="1">IFERROR(__xludf.DUMMYFUNCTION("""COMPUTED_VALUE"""),"HS multi-grade class")</f>
        <v>HS multi-grade class</v>
      </c>
      <c r="L149" s="3"/>
      <c r="M149" s="3"/>
      <c r="N149" s="3"/>
      <c r="O149" s="3"/>
      <c r="P149" s="3"/>
      <c r="Q149" s="3"/>
      <c r="R149" s="3"/>
      <c r="S149" s="3"/>
      <c r="T149" s="3" t="str">
        <f ca="1">IFERROR(__xludf.DUMMYFUNCTION("""COMPUTED_VALUE"""),"Norman North")</f>
        <v>Norman North</v>
      </c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" x14ac:dyDescent="0.15">
      <c r="A150" s="2">
        <f ca="1">IFERROR(__xludf.DUMMYFUNCTION("""COMPUTED_VALUE"""),45785.5945477083)</f>
        <v>45785.594547708301</v>
      </c>
      <c r="B150" s="3" t="str">
        <f ca="1">IFERROR(__xludf.DUMMYFUNCTION("""COMPUTED_VALUE"""),"ksmith8@normanps.org")</f>
        <v>ksmith8@normanps.org</v>
      </c>
      <c r="C150" s="3"/>
      <c r="D150" s="3">
        <f ca="1">IFERROR(__xludf.DUMMYFUNCTION("""COMPUTED_VALUE"""),1)</f>
        <v>1</v>
      </c>
      <c r="E150" s="3"/>
      <c r="F150" s="6"/>
      <c r="G150" s="3"/>
      <c r="H150" s="3"/>
      <c r="I150" s="3" t="str">
        <f ca="1">IFERROR(__xludf.DUMMYFUNCTION("""COMPUTED_VALUE"""),"Inquire")</f>
        <v>Inquire</v>
      </c>
      <c r="J150" s="3" t="str">
        <f ca="1">IFERROR(__xludf.DUMMYFUNCTION("""COMPUTED_VALUE"""),"Fine Arts (Debate, Acting, etc)")</f>
        <v>Fine Arts (Debate, Acting, etc)</v>
      </c>
      <c r="K150" s="3" t="str">
        <f ca="1">IFERROR(__xludf.DUMMYFUNCTION("""COMPUTED_VALUE"""),"HS multi-grade class")</f>
        <v>HS multi-grade class</v>
      </c>
      <c r="L150" s="3"/>
      <c r="M150" s="3"/>
      <c r="N150" s="3"/>
      <c r="O150" s="3"/>
      <c r="P150" s="3"/>
      <c r="Q150" s="3"/>
      <c r="R150" s="3"/>
      <c r="S150" s="3"/>
      <c r="T150" s="3" t="str">
        <f ca="1">IFERROR(__xludf.DUMMYFUNCTION("""COMPUTED_VALUE"""),"Norman North")</f>
        <v>Norman North</v>
      </c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" x14ac:dyDescent="0.15">
      <c r="A151" s="2">
        <f ca="1">IFERROR(__xludf.DUMMYFUNCTION("""COMPUTED_VALUE"""),45785.5951964814)</f>
        <v>45785.595196481401</v>
      </c>
      <c r="B151" s="3" t="str">
        <f ca="1">IFERROR(__xludf.DUMMYFUNCTION("""COMPUTED_VALUE"""),"ksmith8@normanps.org")</f>
        <v>ksmith8@normanps.org</v>
      </c>
      <c r="C151" s="3"/>
      <c r="D151" s="3">
        <f ca="1">IFERROR(__xludf.DUMMYFUNCTION("""COMPUTED_VALUE"""),2)</f>
        <v>2</v>
      </c>
      <c r="E151" s="3"/>
      <c r="F151" s="6"/>
      <c r="G151" s="3"/>
      <c r="H151" s="3"/>
      <c r="I151" s="3" t="str">
        <f ca="1">IFERROR(__xludf.DUMMYFUNCTION("""COMPUTED_VALUE"""),"Include")</f>
        <v>Include</v>
      </c>
      <c r="J151" s="3" t="str">
        <f ca="1">IFERROR(__xludf.DUMMYFUNCTION("""COMPUTED_VALUE"""),"ELA")</f>
        <v>ELA</v>
      </c>
      <c r="K151" s="3" t="str">
        <f ca="1">IFERROR(__xludf.DUMMYFUNCTION("""COMPUTED_VALUE"""),"Ninth")</f>
        <v>Ninth</v>
      </c>
      <c r="L151" s="3"/>
      <c r="M151" s="3"/>
      <c r="N151" s="3"/>
      <c r="O151" s="3"/>
      <c r="P151" s="3"/>
      <c r="Q151" s="3"/>
      <c r="R151" s="3"/>
      <c r="S151" s="3"/>
      <c r="T151" s="3" t="str">
        <f ca="1">IFERROR(__xludf.DUMMYFUNCTION("""COMPUTED_VALUE"""),"Norman North")</f>
        <v>Norman North</v>
      </c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" x14ac:dyDescent="0.15">
      <c r="A152" s="2">
        <f ca="1">IFERROR(__xludf.DUMMYFUNCTION("""COMPUTED_VALUE"""),45785.5955275463)</f>
        <v>45785.595527546298</v>
      </c>
      <c r="B152" s="3" t="str">
        <f ca="1">IFERROR(__xludf.DUMMYFUNCTION("""COMPUTED_VALUE"""),"ksmith8@normanps.org")</f>
        <v>ksmith8@normanps.org</v>
      </c>
      <c r="C152" s="3"/>
      <c r="D152" s="3">
        <f ca="1">IFERROR(__xludf.DUMMYFUNCTION("""COMPUTED_VALUE"""),40)</f>
        <v>40</v>
      </c>
      <c r="E152" s="3"/>
      <c r="F152" s="6"/>
      <c r="G152" s="3"/>
      <c r="H152" s="3"/>
      <c r="I152" s="3" t="str">
        <f ca="1">IFERROR(__xludf.DUMMYFUNCTION("""COMPUTED_VALUE"""),"Explore")</f>
        <v>Explore</v>
      </c>
      <c r="J152" s="3" t="str">
        <f ca="1">IFERROR(__xludf.DUMMYFUNCTION("""COMPUTED_VALUE"""),"Math")</f>
        <v>Math</v>
      </c>
      <c r="K152" s="3" t="str">
        <f ca="1">IFERROR(__xludf.DUMMYFUNCTION("""COMPUTED_VALUE"""),"Ninth")</f>
        <v>Ninth</v>
      </c>
      <c r="L152" s="3"/>
      <c r="M152" s="3"/>
      <c r="N152" s="3"/>
      <c r="O152" s="3"/>
      <c r="P152" s="3"/>
      <c r="Q152" s="3"/>
      <c r="R152" s="3"/>
      <c r="S152" s="3"/>
      <c r="T152" s="3" t="str">
        <f ca="1">IFERROR(__xludf.DUMMYFUNCTION("""COMPUTED_VALUE"""),"Norman North")</f>
        <v>Norman North</v>
      </c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" x14ac:dyDescent="0.15">
      <c r="A153" s="2">
        <f ca="1">IFERROR(__xludf.DUMMYFUNCTION("""COMPUTED_VALUE"""),45785.5961128935)</f>
        <v>45785.596112893501</v>
      </c>
      <c r="B153" s="3" t="str">
        <f ca="1">IFERROR(__xludf.DUMMYFUNCTION("""COMPUTED_VALUE"""),"ksmith8@normanps.org")</f>
        <v>ksmith8@normanps.org</v>
      </c>
      <c r="C153" s="3"/>
      <c r="D153" s="3">
        <f ca="1">IFERROR(__xludf.DUMMYFUNCTION("""COMPUTED_VALUE"""),6)</f>
        <v>6</v>
      </c>
      <c r="E153" s="3"/>
      <c r="F153" s="6"/>
      <c r="G153" s="3"/>
      <c r="H153" s="3"/>
      <c r="I153" s="3" t="str">
        <f ca="1">IFERROR(__xludf.DUMMYFUNCTION("""COMPUTED_VALUE"""),"Inquire")</f>
        <v>Inquire</v>
      </c>
      <c r="J153" s="3" t="str">
        <f ca="1">IFERROR(__xludf.DUMMYFUNCTION("""COMPUTED_VALUE"""),"ELA")</f>
        <v>ELA</v>
      </c>
      <c r="K153" s="3" t="str">
        <f ca="1">IFERROR(__xludf.DUMMYFUNCTION("""COMPUTED_VALUE"""),"Twelfth")</f>
        <v>Twelfth</v>
      </c>
      <c r="L153" s="3"/>
      <c r="M153" s="3"/>
      <c r="N153" s="3"/>
      <c r="O153" s="3"/>
      <c r="P153" s="3"/>
      <c r="Q153" s="3"/>
      <c r="R153" s="3"/>
      <c r="S153" s="3"/>
      <c r="T153" s="3" t="str">
        <f ca="1">IFERROR(__xludf.DUMMYFUNCTION("""COMPUTED_VALUE"""),"Norman North")</f>
        <v>Norman North</v>
      </c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" x14ac:dyDescent="0.15">
      <c r="A154" s="2">
        <f ca="1">IFERROR(__xludf.DUMMYFUNCTION("""COMPUTED_VALUE"""),45785.5964303588)</f>
        <v>45785.596430358797</v>
      </c>
      <c r="B154" s="3" t="str">
        <f ca="1">IFERROR(__xludf.DUMMYFUNCTION("""COMPUTED_VALUE"""),"ksmith8@normanps.org")</f>
        <v>ksmith8@normanps.org</v>
      </c>
      <c r="C154" s="3"/>
      <c r="D154" s="3">
        <f ca="1">IFERROR(__xludf.DUMMYFUNCTION("""COMPUTED_VALUE"""),1)</f>
        <v>1</v>
      </c>
      <c r="E154" s="3"/>
      <c r="F154" s="6"/>
      <c r="G154" s="3"/>
      <c r="H154" s="3"/>
      <c r="I154" s="3" t="str">
        <f ca="1">IFERROR(__xludf.DUMMYFUNCTION("""COMPUTED_VALUE"""),"Explore")</f>
        <v>Explore</v>
      </c>
      <c r="J154" s="3" t="str">
        <f ca="1">IFERROR(__xludf.DUMMYFUNCTION("""COMPUTED_VALUE"""),"Direct Instruction")</f>
        <v>Direct Instruction</v>
      </c>
      <c r="K154" s="3" t="str">
        <f ca="1">IFERROR(__xludf.DUMMYFUNCTION("""COMPUTED_VALUE"""),"Autism/SPED multi-level high school")</f>
        <v>Autism/SPED multi-level high school</v>
      </c>
      <c r="L154" s="3"/>
      <c r="M154" s="3"/>
      <c r="N154" s="3"/>
      <c r="O154" s="3"/>
      <c r="P154" s="3"/>
      <c r="Q154" s="3"/>
      <c r="R154" s="3"/>
      <c r="S154" s="3"/>
      <c r="T154" s="3" t="str">
        <f ca="1">IFERROR(__xludf.DUMMYFUNCTION("""COMPUTED_VALUE"""),"Norman North")</f>
        <v>Norman North</v>
      </c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" x14ac:dyDescent="0.15">
      <c r="A155" s="2">
        <f ca="1">IFERROR(__xludf.DUMMYFUNCTION("""COMPUTED_VALUE"""),45785.5967025694)</f>
        <v>45785.596702569397</v>
      </c>
      <c r="B155" s="3" t="str">
        <f ca="1">IFERROR(__xludf.DUMMYFUNCTION("""COMPUTED_VALUE"""),"ksmith8@normanps.org")</f>
        <v>ksmith8@normanps.org</v>
      </c>
      <c r="C155" s="3"/>
      <c r="D155" s="3">
        <f ca="1">IFERROR(__xludf.DUMMYFUNCTION("""COMPUTED_VALUE"""),3)</f>
        <v>3</v>
      </c>
      <c r="E155" s="3"/>
      <c r="F155" s="6"/>
      <c r="G155" s="3"/>
      <c r="H155" s="3"/>
      <c r="I155" s="3" t="str">
        <f ca="1">IFERROR(__xludf.DUMMYFUNCTION("""COMPUTED_VALUE"""),"Explore")</f>
        <v>Explore</v>
      </c>
      <c r="J155" s="3" t="str">
        <f ca="1">IFERROR(__xludf.DUMMYFUNCTION("""COMPUTED_VALUE"""),"Direct Instruction")</f>
        <v>Direct Instruction</v>
      </c>
      <c r="K155" s="3" t="str">
        <f ca="1">IFERROR(__xludf.DUMMYFUNCTION("""COMPUTED_VALUE"""),"Autism/SPED multi-level high school")</f>
        <v>Autism/SPED multi-level high school</v>
      </c>
      <c r="L155" s="3"/>
      <c r="M155" s="3"/>
      <c r="N155" s="3"/>
      <c r="O155" s="3"/>
      <c r="P155" s="3"/>
      <c r="Q155" s="3"/>
      <c r="R155" s="3"/>
      <c r="S155" s="3"/>
      <c r="T155" s="3" t="str">
        <f ca="1">IFERROR(__xludf.DUMMYFUNCTION("""COMPUTED_VALUE"""),"Norman North")</f>
        <v>Norman North</v>
      </c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" x14ac:dyDescent="0.15">
      <c r="A156" s="2">
        <f ca="1">IFERROR(__xludf.DUMMYFUNCTION("""COMPUTED_VALUE"""),45785.5970078819)</f>
        <v>45785.597007881901</v>
      </c>
      <c r="B156" s="3" t="str">
        <f ca="1">IFERROR(__xludf.DUMMYFUNCTION("""COMPUTED_VALUE"""),"ksmith8@normanps.org")</f>
        <v>ksmith8@normanps.org</v>
      </c>
      <c r="C156" s="3"/>
      <c r="D156" s="3">
        <f ca="1">IFERROR(__xludf.DUMMYFUNCTION("""COMPUTED_VALUE"""),5)</f>
        <v>5</v>
      </c>
      <c r="E156" s="3"/>
      <c r="F156" s="6"/>
      <c r="G156" s="3"/>
      <c r="H156" s="3"/>
      <c r="I156" s="3" t="str">
        <f ca="1">IFERROR(__xludf.DUMMYFUNCTION("""COMPUTED_VALUE"""),"Include")</f>
        <v>Include</v>
      </c>
      <c r="J156" s="3" t="str">
        <f ca="1">IFERROR(__xludf.DUMMYFUNCTION("""COMPUTED_VALUE"""),"ELA")</f>
        <v>ELA</v>
      </c>
      <c r="K156" s="3" t="str">
        <f ca="1">IFERROR(__xludf.DUMMYFUNCTION("""COMPUTED_VALUE"""),"Eleventh")</f>
        <v>Eleventh</v>
      </c>
      <c r="L156" s="3"/>
      <c r="M156" s="3"/>
      <c r="N156" s="3"/>
      <c r="O156" s="3"/>
      <c r="P156" s="3"/>
      <c r="Q156" s="3"/>
      <c r="R156" s="3"/>
      <c r="S156" s="3"/>
      <c r="T156" s="3" t="str">
        <f ca="1">IFERROR(__xludf.DUMMYFUNCTION("""COMPUTED_VALUE"""),"Norman North")</f>
        <v>Norman North</v>
      </c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" x14ac:dyDescent="0.15">
      <c r="A157" s="2">
        <f ca="1">IFERROR(__xludf.DUMMYFUNCTION("""COMPUTED_VALUE"""),45785.6062345486)</f>
        <v>45785.606234548599</v>
      </c>
      <c r="B157" s="3" t="str">
        <f ca="1">IFERROR(__xludf.DUMMYFUNCTION("""COMPUTED_VALUE"""),"ksmith8@normanps.org")</f>
        <v>ksmith8@normanps.org</v>
      </c>
      <c r="C157" s="3"/>
      <c r="D157" s="3">
        <f ca="1">IFERROR(__xludf.DUMMYFUNCTION("""COMPUTED_VALUE"""),8)</f>
        <v>8</v>
      </c>
      <c r="E157" s="3"/>
      <c r="F157" s="6"/>
      <c r="G157" s="3"/>
      <c r="H157" s="3"/>
      <c r="I157" s="3" t="str">
        <f ca="1">IFERROR(__xludf.DUMMYFUNCTION("""COMPUTED_VALUE"""),"Include")</f>
        <v>Include</v>
      </c>
      <c r="J157" s="3" t="str">
        <f ca="1">IFERROR(__xludf.DUMMYFUNCTION("""COMPUTED_VALUE"""),"ELA")</f>
        <v>ELA</v>
      </c>
      <c r="K157" s="3" t="str">
        <f ca="1">IFERROR(__xludf.DUMMYFUNCTION("""COMPUTED_VALUE"""),"Eleventh")</f>
        <v>Eleventh</v>
      </c>
      <c r="L157" s="3"/>
      <c r="M157" s="3"/>
      <c r="N157" s="3"/>
      <c r="O157" s="3"/>
      <c r="P157" s="3"/>
      <c r="Q157" s="3"/>
      <c r="R157" s="3"/>
      <c r="S157" s="3"/>
      <c r="T157" s="3" t="str">
        <f ca="1">IFERROR(__xludf.DUMMYFUNCTION("""COMPUTED_VALUE"""),"Norman North")</f>
        <v>Norman North</v>
      </c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" x14ac:dyDescent="0.15">
      <c r="A158" s="2">
        <f ca="1">IFERROR(__xludf.DUMMYFUNCTION("""COMPUTED_VALUE"""),45785.6065303935)</f>
        <v>45785.606530393503</v>
      </c>
      <c r="B158" s="3" t="str">
        <f ca="1">IFERROR(__xludf.DUMMYFUNCTION("""COMPUTED_VALUE"""),"ksmith8@normanps.org")</f>
        <v>ksmith8@normanps.org</v>
      </c>
      <c r="C158" s="3"/>
      <c r="D158" s="3">
        <f ca="1">IFERROR(__xludf.DUMMYFUNCTION("""COMPUTED_VALUE"""),6)</f>
        <v>6</v>
      </c>
      <c r="E158" s="3"/>
      <c r="F158" s="6"/>
      <c r="G158" s="3"/>
      <c r="H158" s="3"/>
      <c r="I158" s="3" t="str">
        <f ca="1">IFERROR(__xludf.DUMMYFUNCTION("""COMPUTED_VALUE"""),"Inquire")</f>
        <v>Inquire</v>
      </c>
      <c r="J158" s="3" t="str">
        <f ca="1">IFERROR(__xludf.DUMMYFUNCTION("""COMPUTED_VALUE"""),"Math")</f>
        <v>Math</v>
      </c>
      <c r="K158" s="3" t="str">
        <f ca="1">IFERROR(__xludf.DUMMYFUNCTION("""COMPUTED_VALUE"""),"Ninth")</f>
        <v>Ninth</v>
      </c>
      <c r="L158" s="3"/>
      <c r="M158" s="3"/>
      <c r="N158" s="3"/>
      <c r="O158" s="3"/>
      <c r="P158" s="3"/>
      <c r="Q158" s="3"/>
      <c r="R158" s="3"/>
      <c r="S158" s="3"/>
      <c r="T158" s="3" t="str">
        <f ca="1">IFERROR(__xludf.DUMMYFUNCTION("""COMPUTED_VALUE"""),"Norman North")</f>
        <v>Norman North</v>
      </c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" x14ac:dyDescent="0.15">
      <c r="A159" s="2">
        <f ca="1">IFERROR(__xludf.DUMMYFUNCTION("""COMPUTED_VALUE"""),45785.6068412152)</f>
        <v>45785.606841215202</v>
      </c>
      <c r="B159" s="3" t="str">
        <f ca="1">IFERROR(__xludf.DUMMYFUNCTION("""COMPUTED_VALUE"""),"ksmith8@normanps.org")</f>
        <v>ksmith8@normanps.org</v>
      </c>
      <c r="C159" s="3"/>
      <c r="D159" s="3">
        <f ca="1">IFERROR(__xludf.DUMMYFUNCTION("""COMPUTED_VALUE"""),10)</f>
        <v>10</v>
      </c>
      <c r="E159" s="3"/>
      <c r="F159" s="6"/>
      <c r="G159" s="3"/>
      <c r="H159" s="3"/>
      <c r="I159" s="3" t="str">
        <f ca="1">IFERROR(__xludf.DUMMYFUNCTION("""COMPUTED_VALUE"""),"Inquire")</f>
        <v>Inquire</v>
      </c>
      <c r="J159" s="3" t="str">
        <f ca="1">IFERROR(__xludf.DUMMYFUNCTION("""COMPUTED_VALUE"""),"Social Studies")</f>
        <v>Social Studies</v>
      </c>
      <c r="K159" s="3" t="str">
        <f ca="1">IFERROR(__xludf.DUMMYFUNCTION("""COMPUTED_VALUE"""),"Ninth")</f>
        <v>Ninth</v>
      </c>
      <c r="L159" s="3"/>
      <c r="M159" s="3"/>
      <c r="N159" s="3"/>
      <c r="O159" s="3"/>
      <c r="P159" s="3"/>
      <c r="Q159" s="3"/>
      <c r="R159" s="3"/>
      <c r="S159" s="3"/>
      <c r="T159" s="3" t="str">
        <f ca="1">IFERROR(__xludf.DUMMYFUNCTION("""COMPUTED_VALUE"""),"Norman North")</f>
        <v>Norman North</v>
      </c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" x14ac:dyDescent="0.15">
      <c r="A160" s="2">
        <f ca="1">IFERROR(__xludf.DUMMYFUNCTION("""COMPUTED_VALUE"""),45785.6071264236)</f>
        <v>45785.607126423602</v>
      </c>
      <c r="B160" s="3" t="str">
        <f ca="1">IFERROR(__xludf.DUMMYFUNCTION("""COMPUTED_VALUE"""),"ksmith8@normanps.org")</f>
        <v>ksmith8@normanps.org</v>
      </c>
      <c r="C160" s="3"/>
      <c r="D160" s="3">
        <f ca="1">IFERROR(__xludf.DUMMYFUNCTION("""COMPUTED_VALUE"""),4)</f>
        <v>4</v>
      </c>
      <c r="E160" s="3"/>
      <c r="F160" s="6"/>
      <c r="G160" s="3"/>
      <c r="H160" s="3"/>
      <c r="I160" s="3" t="str">
        <f ca="1">IFERROR(__xludf.DUMMYFUNCTION("""COMPUTED_VALUE"""),"Inquire")</f>
        <v>Inquire</v>
      </c>
      <c r="J160" s="3" t="str">
        <f ca="1">IFERROR(__xludf.DUMMYFUNCTION("""COMPUTED_VALUE"""),"Social Studies")</f>
        <v>Social Studies</v>
      </c>
      <c r="K160" s="3" t="str">
        <f ca="1">IFERROR(__xludf.DUMMYFUNCTION("""COMPUTED_VALUE"""),"Twelfth")</f>
        <v>Twelfth</v>
      </c>
      <c r="L160" s="3"/>
      <c r="M160" s="3"/>
      <c r="N160" s="3"/>
      <c r="O160" s="3"/>
      <c r="P160" s="3"/>
      <c r="Q160" s="3"/>
      <c r="R160" s="3"/>
      <c r="S160" s="3"/>
      <c r="T160" s="3" t="str">
        <f ca="1">IFERROR(__xludf.DUMMYFUNCTION("""COMPUTED_VALUE"""),"Norman North")</f>
        <v>Norman North</v>
      </c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" x14ac:dyDescent="0.15">
      <c r="A161" s="2">
        <f ca="1">IFERROR(__xludf.DUMMYFUNCTION("""COMPUTED_VALUE"""),45785.6075836921)</f>
        <v>45785.607583692101</v>
      </c>
      <c r="B161" s="3" t="str">
        <f ca="1">IFERROR(__xludf.DUMMYFUNCTION("""COMPUTED_VALUE"""),"ksmith8@normanps.org")</f>
        <v>ksmith8@normanps.org</v>
      </c>
      <c r="C161" s="3"/>
      <c r="D161" s="3">
        <f ca="1">IFERROR(__xludf.DUMMYFUNCTION("""COMPUTED_VALUE"""),3)</f>
        <v>3</v>
      </c>
      <c r="E161" s="3"/>
      <c r="F161" s="6"/>
      <c r="G161" s="3"/>
      <c r="H161" s="3"/>
      <c r="I161" s="3" t="str">
        <f ca="1">IFERROR(__xludf.DUMMYFUNCTION("""COMPUTED_VALUE"""),"Inquire")</f>
        <v>Inquire</v>
      </c>
      <c r="J161" s="3" t="str">
        <f ca="1">IFERROR(__xludf.DUMMYFUNCTION("""COMPUTED_VALUE"""),"Fine Arts (Debate, Acting, etc)")</f>
        <v>Fine Arts (Debate, Acting, etc)</v>
      </c>
      <c r="K161" s="3" t="str">
        <f ca="1">IFERROR(__xludf.DUMMYFUNCTION("""COMPUTED_VALUE"""),"HS multi-grade class")</f>
        <v>HS multi-grade class</v>
      </c>
      <c r="L161" s="3"/>
      <c r="M161" s="3"/>
      <c r="N161" s="3"/>
      <c r="O161" s="3"/>
      <c r="P161" s="3"/>
      <c r="Q161" s="3"/>
      <c r="R161" s="3"/>
      <c r="S161" s="3"/>
      <c r="T161" s="3" t="str">
        <f ca="1">IFERROR(__xludf.DUMMYFUNCTION("""COMPUTED_VALUE"""),"Norman North")</f>
        <v>Norman North</v>
      </c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" x14ac:dyDescent="0.15">
      <c r="A162" s="2">
        <f ca="1">IFERROR(__xludf.DUMMYFUNCTION("""COMPUTED_VALUE"""),45785.6078339814)</f>
        <v>45785.607833981398</v>
      </c>
      <c r="B162" s="3" t="str">
        <f ca="1">IFERROR(__xludf.DUMMYFUNCTION("""COMPUTED_VALUE"""),"ksmith8@normanps.org")</f>
        <v>ksmith8@normanps.org</v>
      </c>
      <c r="C162" s="3"/>
      <c r="D162" s="3">
        <f ca="1">IFERROR(__xludf.DUMMYFUNCTION("""COMPUTED_VALUE"""),2)</f>
        <v>2</v>
      </c>
      <c r="E162" s="3"/>
      <c r="F162" s="6"/>
      <c r="G162" s="3"/>
      <c r="H162" s="3"/>
      <c r="I162" s="3" t="str">
        <f ca="1">IFERROR(__xludf.DUMMYFUNCTION("""COMPUTED_VALUE"""),"Inquire")</f>
        <v>Inquire</v>
      </c>
      <c r="J162" s="3" t="str">
        <f ca="1">IFERROR(__xludf.DUMMYFUNCTION("""COMPUTED_VALUE"""),"Social Studies")</f>
        <v>Social Studies</v>
      </c>
      <c r="K162" s="3" t="str">
        <f ca="1">IFERROR(__xludf.DUMMYFUNCTION("""COMPUTED_VALUE"""),"HS multi-grade class")</f>
        <v>HS multi-grade class</v>
      </c>
      <c r="L162" s="3"/>
      <c r="M162" s="3"/>
      <c r="N162" s="3"/>
      <c r="O162" s="3"/>
      <c r="P162" s="3"/>
      <c r="Q162" s="3"/>
      <c r="R162" s="3"/>
      <c r="S162" s="3"/>
      <c r="T162" s="3" t="str">
        <f ca="1">IFERROR(__xludf.DUMMYFUNCTION("""COMPUTED_VALUE"""),"Norman North")</f>
        <v>Norman North</v>
      </c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" x14ac:dyDescent="0.15">
      <c r="A163" s="2">
        <f ca="1">IFERROR(__xludf.DUMMYFUNCTION("""COMPUTED_VALUE"""),45785.6080596527)</f>
        <v>45785.608059652703</v>
      </c>
      <c r="B163" s="3" t="str">
        <f ca="1">IFERROR(__xludf.DUMMYFUNCTION("""COMPUTED_VALUE"""),"ksmith8@normanps.org")</f>
        <v>ksmith8@normanps.org</v>
      </c>
      <c r="C163" s="3"/>
      <c r="D163" s="3">
        <f ca="1">IFERROR(__xludf.DUMMYFUNCTION("""COMPUTED_VALUE"""),1)</f>
        <v>1</v>
      </c>
      <c r="E163" s="3"/>
      <c r="F163" s="6"/>
      <c r="G163" s="3"/>
      <c r="H163" s="3"/>
      <c r="I163" s="3" t="str">
        <f ca="1">IFERROR(__xludf.DUMMYFUNCTION("""COMPUTED_VALUE"""),"Inquire")</f>
        <v>Inquire</v>
      </c>
      <c r="J163" s="3" t="str">
        <f ca="1">IFERROR(__xludf.DUMMYFUNCTION("""COMPUTED_VALUE"""),"Social Studies")</f>
        <v>Social Studies</v>
      </c>
      <c r="K163" s="3" t="str">
        <f ca="1">IFERROR(__xludf.DUMMYFUNCTION("""COMPUTED_VALUE"""),"HS multi-grade class")</f>
        <v>HS multi-grade class</v>
      </c>
      <c r="L163" s="3"/>
      <c r="M163" s="3"/>
      <c r="N163" s="3"/>
      <c r="O163" s="3"/>
      <c r="P163" s="3"/>
      <c r="Q163" s="3"/>
      <c r="R163" s="3"/>
      <c r="S163" s="3"/>
      <c r="T163" s="3" t="str">
        <f ca="1">IFERROR(__xludf.DUMMYFUNCTION("""COMPUTED_VALUE"""),"Norman North")</f>
        <v>Norman North</v>
      </c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" x14ac:dyDescent="0.15">
      <c r="A164" s="2">
        <f ca="1">IFERROR(__xludf.DUMMYFUNCTION("""COMPUTED_VALUE"""),45785.6083896759)</f>
        <v>45785.608389675901</v>
      </c>
      <c r="B164" s="3" t="str">
        <f ca="1">IFERROR(__xludf.DUMMYFUNCTION("""COMPUTED_VALUE"""),"ksmith8@normanps.org")</f>
        <v>ksmith8@normanps.org</v>
      </c>
      <c r="C164" s="3"/>
      <c r="D164" s="3">
        <f ca="1">IFERROR(__xludf.DUMMYFUNCTION("""COMPUTED_VALUE"""),4)</f>
        <v>4</v>
      </c>
      <c r="E164" s="3"/>
      <c r="F164" s="6"/>
      <c r="G164" s="3"/>
      <c r="H164" s="3"/>
      <c r="I164" s="3" t="str">
        <f ca="1">IFERROR(__xludf.DUMMYFUNCTION("""COMPUTED_VALUE"""),"Explore")</f>
        <v>Explore</v>
      </c>
      <c r="J164" s="3" t="str">
        <f ca="1">IFERROR(__xludf.DUMMYFUNCTION("""COMPUTED_VALUE"""),"Math")</f>
        <v>Math</v>
      </c>
      <c r="K164" s="3" t="str">
        <f ca="1">IFERROR(__xludf.DUMMYFUNCTION("""COMPUTED_VALUE"""),"Ninth")</f>
        <v>Ninth</v>
      </c>
      <c r="L164" s="3"/>
      <c r="M164" s="3"/>
      <c r="N164" s="3"/>
      <c r="O164" s="3"/>
      <c r="P164" s="3"/>
      <c r="Q164" s="3"/>
      <c r="R164" s="3"/>
      <c r="S164" s="3"/>
      <c r="T164" s="3" t="str">
        <f ca="1">IFERROR(__xludf.DUMMYFUNCTION("""COMPUTED_VALUE"""),"Norman North")</f>
        <v>Norman North</v>
      </c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" x14ac:dyDescent="0.15">
      <c r="A165" s="2">
        <f ca="1">IFERROR(__xludf.DUMMYFUNCTION("""COMPUTED_VALUE"""),45795.7669424768)</f>
        <v>45795.766942476803</v>
      </c>
      <c r="B165" s="3" t="str">
        <f ca="1">IFERROR(__xludf.DUMMYFUNCTION("""COMPUTED_VALUE"""),"mdettmann@normanps.org")</f>
        <v>mdettmann@normanps.org</v>
      </c>
      <c r="C165" s="3">
        <f ca="1">IFERROR(__xludf.DUMMYFUNCTION("""COMPUTED_VALUE"""),3447)</f>
        <v>3447</v>
      </c>
      <c r="D165" s="3"/>
      <c r="E165" s="3"/>
      <c r="F165" s="6"/>
      <c r="G165" s="3"/>
      <c r="H165" s="3"/>
      <c r="I165" s="3"/>
      <c r="J165" s="3"/>
      <c r="K165" s="3"/>
      <c r="L165" s="3"/>
      <c r="M165" s="3"/>
      <c r="N165" s="3">
        <f ca="1">IFERROR(__xludf.DUMMYFUNCTION("""COMPUTED_VALUE"""),674)</f>
        <v>674</v>
      </c>
      <c r="O165" s="3">
        <f ca="1">IFERROR(__xludf.DUMMYFUNCTION("""COMPUTED_VALUE"""),48427)</f>
        <v>48427</v>
      </c>
      <c r="P165" s="3"/>
      <c r="Q165" s="3"/>
      <c r="R165" s="3"/>
      <c r="S165" s="3"/>
      <c r="T165" s="3" t="str">
        <f ca="1">IFERROR(__xludf.DUMMYFUNCTION("""COMPUTED_VALUE"""),"Norman North")</f>
        <v>Norman North</v>
      </c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" x14ac:dyDescent="0.15">
      <c r="A166" s="2">
        <f ca="1">IFERROR(__xludf.DUMMYFUNCTION("""COMPUTED_VALUE"""),45796.6168867939)</f>
        <v>45796.616886793898</v>
      </c>
      <c r="B166" s="3" t="str">
        <f ca="1">IFERROR(__xludf.DUMMYFUNCTION("""COMPUTED_VALUE"""),"ksmith8@normanps.org")</f>
        <v>ksmith8@normanps.org</v>
      </c>
      <c r="C166" s="3"/>
      <c r="D166" s="3">
        <f ca="1">IFERROR(__xludf.DUMMYFUNCTION("""COMPUTED_VALUE"""),16)</f>
        <v>16</v>
      </c>
      <c r="E166" s="3"/>
      <c r="F166" s="6"/>
      <c r="G166" s="3"/>
      <c r="H166" s="3"/>
      <c r="I166" s="3" t="str">
        <f ca="1">IFERROR(__xludf.DUMMYFUNCTION("""COMPUTED_VALUE"""),"Collaborate")</f>
        <v>Collaborate</v>
      </c>
      <c r="J166" s="3"/>
      <c r="K166" s="3" t="str">
        <f ca="1">IFERROR(__xludf.DUMMYFUNCTION("""COMPUTED_VALUE"""),"Ninth")</f>
        <v>Ninth</v>
      </c>
      <c r="L166" s="3"/>
      <c r="M166" s="3"/>
      <c r="N166" s="3"/>
      <c r="O166" s="3"/>
      <c r="P166" s="3"/>
      <c r="Q166" s="3"/>
      <c r="R166" s="3"/>
      <c r="S166" s="3"/>
      <c r="T166" s="3" t="str">
        <f ca="1">IFERROR(__xludf.DUMMYFUNCTION("""COMPUTED_VALUE"""),"Norman North")</f>
        <v>Norman North</v>
      </c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" x14ac:dyDescent="0.15">
      <c r="A167" s="2">
        <f ca="1">IFERROR(__xludf.DUMMYFUNCTION("""COMPUTED_VALUE"""),45796.6181335879)</f>
        <v>45796.618133587901</v>
      </c>
      <c r="B167" s="3" t="str">
        <f ca="1">IFERROR(__xludf.DUMMYFUNCTION("""COMPUTED_VALUE"""),"ksmith8@normanps.org")</f>
        <v>ksmith8@normanps.org</v>
      </c>
      <c r="C167" s="3"/>
      <c r="D167" s="3">
        <f ca="1">IFERROR(__xludf.DUMMYFUNCTION("""COMPUTED_VALUE"""),8)</f>
        <v>8</v>
      </c>
      <c r="E167" s="3"/>
      <c r="F167" s="6"/>
      <c r="G167" s="3">
        <f ca="1">IFERROR(__xludf.DUMMYFUNCTION("""COMPUTED_VALUE"""),16)</f>
        <v>16</v>
      </c>
      <c r="H167" s="3"/>
      <c r="I167" s="3" t="str">
        <f ca="1">IFERROR(__xludf.DUMMYFUNCTION("""COMPUTED_VALUE"""),"Inquire")</f>
        <v>Inquire</v>
      </c>
      <c r="J167" s="3" t="str">
        <f ca="1">IFERROR(__xludf.DUMMYFUNCTION("""COMPUTED_VALUE"""),"Social Studies")</f>
        <v>Social Studies</v>
      </c>
      <c r="K167" s="3" t="str">
        <f ca="1">IFERROR(__xludf.DUMMYFUNCTION("""COMPUTED_VALUE"""),"HS multi-grade class")</f>
        <v>HS multi-grade class</v>
      </c>
      <c r="L167" s="3"/>
      <c r="M167" s="3">
        <f ca="1">IFERROR(__xludf.DUMMYFUNCTION("""COMPUTED_VALUE"""),28)</f>
        <v>28</v>
      </c>
      <c r="N167" s="3"/>
      <c r="O167" s="3"/>
      <c r="P167" s="3" t="str">
        <f ca="1">IFERROR(__xludf.DUMMYFUNCTION("""COMPUTED_VALUE"""),"Pioneer Library System Norman Public Library West")</f>
        <v>Pioneer Library System Norman Public Library West</v>
      </c>
      <c r="Q167" s="3" t="str">
        <f ca="1">IFERROR(__xludf.DUMMYFUNCTION("""COMPUTED_VALUE"""),"North Academic Council as Library/Media/Department Chair")</f>
        <v>North Academic Council as Library/Media/Department Chair</v>
      </c>
      <c r="R167" s="3" t="str">
        <f ca="1">IFERROR(__xludf.DUMMYFUNCTION("""COMPUTED_VALUE"""),"Maker May")</f>
        <v>Maker May</v>
      </c>
      <c r="S167" s="3"/>
      <c r="T167" s="3" t="str">
        <f ca="1">IFERROR(__xludf.DUMMYFUNCTION("""COMPUTED_VALUE"""),"Norman North")</f>
        <v>Norman North</v>
      </c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" x14ac:dyDescent="0.15">
      <c r="A168" s="2">
        <f ca="1">IFERROR(__xludf.DUMMYFUNCTION("""COMPUTED_VALUE"""),45796.6186254745)</f>
        <v>45796.618625474497</v>
      </c>
      <c r="B168" s="3" t="str">
        <f ca="1">IFERROR(__xludf.DUMMYFUNCTION("""COMPUTED_VALUE"""),"ksmith8@normanps.org")</f>
        <v>ksmith8@normanps.org</v>
      </c>
      <c r="C168" s="3"/>
      <c r="D168" s="3">
        <f ca="1">IFERROR(__xludf.DUMMYFUNCTION("""COMPUTED_VALUE"""),4)</f>
        <v>4</v>
      </c>
      <c r="E168" s="3"/>
      <c r="F168" s="6"/>
      <c r="G168" s="3"/>
      <c r="H168" s="3"/>
      <c r="I168" s="3" t="str">
        <f ca="1">IFERROR(__xludf.DUMMYFUNCTION("""COMPUTED_VALUE"""),"Inquire")</f>
        <v>Inquire</v>
      </c>
      <c r="J168" s="3" t="str">
        <f ca="1">IFERROR(__xludf.DUMMYFUNCTION("""COMPUTED_VALUE"""),"Social Studies")</f>
        <v>Social Studies</v>
      </c>
      <c r="K168" s="3" t="str">
        <f ca="1">IFERROR(__xludf.DUMMYFUNCTION("""COMPUTED_VALUE"""),"HS multi-grade class")</f>
        <v>HS multi-grade class</v>
      </c>
      <c r="L168" s="3"/>
      <c r="M168" s="3"/>
      <c r="N168" s="3"/>
      <c r="O168" s="3"/>
      <c r="P168" s="3" t="str">
        <f ca="1">IFERROR(__xludf.DUMMYFUNCTION("""COMPUTED_VALUE"""),"Pioneer Library System Norman Public Library East")</f>
        <v>Pioneer Library System Norman Public Library East</v>
      </c>
      <c r="Q168" s="3"/>
      <c r="R168" s="3"/>
      <c r="S168" s="3"/>
      <c r="T168" s="3" t="str">
        <f ca="1">IFERROR(__xludf.DUMMYFUNCTION("""COMPUTED_VALUE"""),"Norman North")</f>
        <v>Norman North</v>
      </c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" x14ac:dyDescent="0.15">
      <c r="A169" s="2">
        <f ca="1">IFERROR(__xludf.DUMMYFUNCTION("""COMPUTED_VALUE"""),45796.6192972453)</f>
        <v>45796.619297245299</v>
      </c>
      <c r="B169" s="3" t="str">
        <f ca="1">IFERROR(__xludf.DUMMYFUNCTION("""COMPUTED_VALUE"""),"ksmith8@normanps.org")</f>
        <v>ksmith8@normanps.org</v>
      </c>
      <c r="C169" s="3"/>
      <c r="D169" s="3">
        <f ca="1">IFERROR(__xludf.DUMMYFUNCTION("""COMPUTED_VALUE"""),35)</f>
        <v>35</v>
      </c>
      <c r="E169" s="3"/>
      <c r="F169" s="6"/>
      <c r="G169" s="3"/>
      <c r="H169" s="3"/>
      <c r="I169" s="3" t="str">
        <f ca="1">IFERROR(__xludf.DUMMYFUNCTION("""COMPUTED_VALUE"""),"Explore")</f>
        <v>Explore</v>
      </c>
      <c r="J169" s="3" t="str">
        <f ca="1">IFERROR(__xludf.DUMMYFUNCTION("""COMPUTED_VALUE"""),"Math")</f>
        <v>Math</v>
      </c>
      <c r="K169" s="3" t="str">
        <f ca="1">IFERROR(__xludf.DUMMYFUNCTION("""COMPUTED_VALUE"""),"Ninth")</f>
        <v>Ninth</v>
      </c>
      <c r="L169" s="3"/>
      <c r="M169" s="3"/>
      <c r="N169" s="3"/>
      <c r="O169" s="3"/>
      <c r="P169" s="3" t="str">
        <f ca="1">IFERROR(__xludf.DUMMYFUNCTION("""COMPUTED_VALUE"""),"Pioneer Library System Library Lab")</f>
        <v>Pioneer Library System Library Lab</v>
      </c>
      <c r="Q169" s="3"/>
      <c r="R169" s="3"/>
      <c r="S169" s="3"/>
      <c r="T169" s="3" t="str">
        <f ca="1">IFERROR(__xludf.DUMMYFUNCTION("""COMPUTED_VALUE"""),"Norman North")</f>
        <v>Norman North</v>
      </c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" x14ac:dyDescent="0.15">
      <c r="A170" s="2">
        <f ca="1">IFERROR(__xludf.DUMMYFUNCTION("""COMPUTED_VALUE"""),45796.6198024305)</f>
        <v>45796.619802430498</v>
      </c>
      <c r="B170" s="3" t="str">
        <f ca="1">IFERROR(__xludf.DUMMYFUNCTION("""COMPUTED_VALUE"""),"ksmith8@normanps.org")</f>
        <v>ksmith8@normanps.org</v>
      </c>
      <c r="C170" s="3"/>
      <c r="D170" s="3">
        <f ca="1">IFERROR(__xludf.DUMMYFUNCTION("""COMPUTED_VALUE"""),1)</f>
        <v>1</v>
      </c>
      <c r="E170" s="3"/>
      <c r="F170" s="6"/>
      <c r="G170" s="3"/>
      <c r="H170" s="3"/>
      <c r="I170" s="3" t="str">
        <f ca="1">IFERROR(__xludf.DUMMYFUNCTION("""COMPUTED_VALUE"""),"Engage")</f>
        <v>Engage</v>
      </c>
      <c r="J170" s="3" t="str">
        <f ca="1">IFERROR(__xludf.DUMMYFUNCTION("""COMPUTED_VALUE"""),"ELA")</f>
        <v>ELA</v>
      </c>
      <c r="K170" s="3" t="str">
        <f ca="1">IFERROR(__xludf.DUMMYFUNCTION("""COMPUTED_VALUE"""),"HS multi-grade class")</f>
        <v>HS multi-grade class</v>
      </c>
      <c r="L170" s="3"/>
      <c r="M170" s="3"/>
      <c r="N170" s="3"/>
      <c r="O170" s="3"/>
      <c r="P170" s="3"/>
      <c r="Q170" s="3"/>
      <c r="R170" s="3"/>
      <c r="S170" s="3"/>
      <c r="T170" s="3" t="str">
        <f ca="1">IFERROR(__xludf.DUMMYFUNCTION("""COMPUTED_VALUE"""),"Norman North")</f>
        <v>Norman North</v>
      </c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" x14ac:dyDescent="0.15">
      <c r="A171" s="2">
        <f ca="1">IFERROR(__xludf.DUMMYFUNCTION("""COMPUTED_VALUE"""),45796.6200916782)</f>
        <v>45796.620091678204</v>
      </c>
      <c r="B171" s="3" t="str">
        <f ca="1">IFERROR(__xludf.DUMMYFUNCTION("""COMPUTED_VALUE"""),"ksmith8@normanps.org")</f>
        <v>ksmith8@normanps.org</v>
      </c>
      <c r="C171" s="3"/>
      <c r="D171" s="3">
        <f ca="1">IFERROR(__xludf.DUMMYFUNCTION("""COMPUTED_VALUE"""),9)</f>
        <v>9</v>
      </c>
      <c r="E171" s="3"/>
      <c r="F171" s="6"/>
      <c r="G171" s="3"/>
      <c r="H171" s="3"/>
      <c r="I171" s="3" t="str">
        <f ca="1">IFERROR(__xludf.DUMMYFUNCTION("""COMPUTED_VALUE"""),"Include")</f>
        <v>Include</v>
      </c>
      <c r="J171" s="3" t="str">
        <f ca="1">IFERROR(__xludf.DUMMYFUNCTION("""COMPUTED_VALUE"""),"ELA")</f>
        <v>ELA</v>
      </c>
      <c r="K171" s="3" t="str">
        <f ca="1">IFERROR(__xludf.DUMMYFUNCTION("""COMPUTED_VALUE"""),"Eleventh")</f>
        <v>Eleventh</v>
      </c>
      <c r="L171" s="3"/>
      <c r="M171" s="3"/>
      <c r="N171" s="3"/>
      <c r="O171" s="3"/>
      <c r="P171" s="3"/>
      <c r="Q171" s="3"/>
      <c r="R171" s="3"/>
      <c r="S171" s="3"/>
      <c r="T171" s="3" t="str">
        <f ca="1">IFERROR(__xludf.DUMMYFUNCTION("""COMPUTED_VALUE"""),"Norman North")</f>
        <v>Norman North</v>
      </c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" x14ac:dyDescent="0.15">
      <c r="A172" s="2">
        <f ca="1">IFERROR(__xludf.DUMMYFUNCTION("""COMPUTED_VALUE"""),45796.620416493)</f>
        <v>45796.620416493002</v>
      </c>
      <c r="B172" s="3" t="str">
        <f ca="1">IFERROR(__xludf.DUMMYFUNCTION("""COMPUTED_VALUE"""),"ksmith8@normanps.org")</f>
        <v>ksmith8@normanps.org</v>
      </c>
      <c r="C172" s="3"/>
      <c r="D172" s="3">
        <f ca="1">IFERROR(__xludf.DUMMYFUNCTION("""COMPUTED_VALUE"""),8)</f>
        <v>8</v>
      </c>
      <c r="E172" s="3"/>
      <c r="F172" s="6"/>
      <c r="G172" s="3"/>
      <c r="H172" s="3"/>
      <c r="I172" s="3" t="str">
        <f ca="1">IFERROR(__xludf.DUMMYFUNCTION("""COMPUTED_VALUE"""),"Inquire")</f>
        <v>Inquire</v>
      </c>
      <c r="J172" s="3" t="str">
        <f ca="1">IFERROR(__xludf.DUMMYFUNCTION("""COMPUTED_VALUE"""),"Social Studies")</f>
        <v>Social Studies</v>
      </c>
      <c r="K172" s="3" t="str">
        <f ca="1">IFERROR(__xludf.DUMMYFUNCTION("""COMPUTED_VALUE"""),"Ninth")</f>
        <v>Ninth</v>
      </c>
      <c r="L172" s="3"/>
      <c r="M172" s="3"/>
      <c r="N172" s="3"/>
      <c r="O172" s="3"/>
      <c r="P172" s="3"/>
      <c r="Q172" s="3"/>
      <c r="R172" s="3"/>
      <c r="S172" s="3"/>
      <c r="T172" s="3" t="str">
        <f ca="1">IFERROR(__xludf.DUMMYFUNCTION("""COMPUTED_VALUE"""),"Norman North")</f>
        <v>Norman North</v>
      </c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" x14ac:dyDescent="0.15">
      <c r="A173" s="2">
        <f ca="1">IFERROR(__xludf.DUMMYFUNCTION("""COMPUTED_VALUE"""),45796.6207146064)</f>
        <v>45796.620714606397</v>
      </c>
      <c r="B173" s="3" t="str">
        <f ca="1">IFERROR(__xludf.DUMMYFUNCTION("""COMPUTED_VALUE"""),"ksmith8@normanps.org")</f>
        <v>ksmith8@normanps.org</v>
      </c>
      <c r="C173" s="3"/>
      <c r="D173" s="3">
        <f ca="1">IFERROR(__xludf.DUMMYFUNCTION("""COMPUTED_VALUE"""),8)</f>
        <v>8</v>
      </c>
      <c r="E173" s="3"/>
      <c r="F173" s="6"/>
      <c r="G173" s="3"/>
      <c r="H173" s="3"/>
      <c r="I173" s="3" t="str">
        <f ca="1">IFERROR(__xludf.DUMMYFUNCTION("""COMPUTED_VALUE"""),"Inquire")</f>
        <v>Inquire</v>
      </c>
      <c r="J173" s="3" t="str">
        <f ca="1">IFERROR(__xludf.DUMMYFUNCTION("""COMPUTED_VALUE"""),"Social Studies")</f>
        <v>Social Studies</v>
      </c>
      <c r="K173" s="3" t="str">
        <f ca="1">IFERROR(__xludf.DUMMYFUNCTION("""COMPUTED_VALUE"""),"HS multi-grade class")</f>
        <v>HS multi-grade class</v>
      </c>
      <c r="L173" s="3"/>
      <c r="M173" s="3"/>
      <c r="N173" s="3"/>
      <c r="O173" s="3"/>
      <c r="P173" s="3"/>
      <c r="Q173" s="3"/>
      <c r="R173" s="3"/>
      <c r="S173" s="3"/>
      <c r="T173" s="3" t="str">
        <f ca="1">IFERROR(__xludf.DUMMYFUNCTION("""COMPUTED_VALUE"""),"Norman North")</f>
        <v>Norman North</v>
      </c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" x14ac:dyDescent="0.15">
      <c r="A174" s="2">
        <f ca="1">IFERROR(__xludf.DUMMYFUNCTION("""COMPUTED_VALUE"""),45796.6210879629)</f>
        <v>45796.6210879629</v>
      </c>
      <c r="B174" s="3" t="str">
        <f ca="1">IFERROR(__xludf.DUMMYFUNCTION("""COMPUTED_VALUE"""),"ksmith8@normanps.org")</f>
        <v>ksmith8@normanps.org</v>
      </c>
      <c r="C174" s="3"/>
      <c r="D174" s="3">
        <f ca="1">IFERROR(__xludf.DUMMYFUNCTION("""COMPUTED_VALUE"""),52)</f>
        <v>52</v>
      </c>
      <c r="E174" s="3"/>
      <c r="F174" s="6"/>
      <c r="G174" s="3"/>
      <c r="H174" s="3"/>
      <c r="I174" s="3" t="str">
        <f ca="1">IFERROR(__xludf.DUMMYFUNCTION("""COMPUTED_VALUE"""),"Explore")</f>
        <v>Explore</v>
      </c>
      <c r="J174" s="3" t="str">
        <f ca="1">IFERROR(__xludf.DUMMYFUNCTION("""COMPUTED_VALUE"""),"ELA")</f>
        <v>ELA</v>
      </c>
      <c r="K174" s="3" t="str">
        <f ca="1">IFERROR(__xludf.DUMMYFUNCTION("""COMPUTED_VALUE"""),"HS multi-grade class")</f>
        <v>HS multi-grade class</v>
      </c>
      <c r="L174" s="3"/>
      <c r="M174" s="3"/>
      <c r="N174" s="3"/>
      <c r="O174" s="3"/>
      <c r="P174" s="3"/>
      <c r="Q174" s="3"/>
      <c r="R174" s="3"/>
      <c r="S174" s="3"/>
      <c r="T174" s="3" t="str">
        <f ca="1">IFERROR(__xludf.DUMMYFUNCTION("""COMPUTED_VALUE"""),"Norman North")</f>
        <v>Norman North</v>
      </c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" x14ac:dyDescent="0.15">
      <c r="A175" s="2">
        <f ca="1">IFERROR(__xludf.DUMMYFUNCTION("""COMPUTED_VALUE"""),45796.6215046875)</f>
        <v>45796.6215046875</v>
      </c>
      <c r="B175" s="3" t="str">
        <f ca="1">IFERROR(__xludf.DUMMYFUNCTION("""COMPUTED_VALUE"""),"ksmith8@normanps.org")</f>
        <v>ksmith8@normanps.org</v>
      </c>
      <c r="C175" s="3"/>
      <c r="D175" s="3"/>
      <c r="E175" s="3"/>
      <c r="F175" s="6"/>
      <c r="G175" s="3"/>
      <c r="H175" s="3"/>
      <c r="I175" s="3" t="str">
        <f ca="1">IFERROR(__xludf.DUMMYFUNCTION("""COMPUTED_VALUE"""),"Explore")</f>
        <v>Explore</v>
      </c>
      <c r="J175" s="3" t="str">
        <f ca="1">IFERROR(__xludf.DUMMYFUNCTION("""COMPUTED_VALUE"""),"Art")</f>
        <v>Art</v>
      </c>
      <c r="K175" s="3" t="str">
        <f ca="1">IFERROR(__xludf.DUMMYFUNCTION("""COMPUTED_VALUE"""),"HS multi-grade class")</f>
        <v>HS multi-grade class</v>
      </c>
      <c r="L175" s="3"/>
      <c r="M175" s="3"/>
      <c r="N175" s="3"/>
      <c r="O175" s="3"/>
      <c r="P175" s="3"/>
      <c r="Q175" s="3"/>
      <c r="R175" s="3"/>
      <c r="S175" s="3"/>
      <c r="T175" s="3" t="str">
        <f ca="1">IFERROR(__xludf.DUMMYFUNCTION("""COMPUTED_VALUE"""),"Norman North")</f>
        <v>Norman North</v>
      </c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" x14ac:dyDescent="0.15">
      <c r="A176" s="2">
        <f ca="1">IFERROR(__xludf.DUMMYFUNCTION("""COMPUTED_VALUE"""),45796.6222746759)</f>
        <v>45796.622274675901</v>
      </c>
      <c r="B176" s="3" t="str">
        <f ca="1">IFERROR(__xludf.DUMMYFUNCTION("""COMPUTED_VALUE"""),"ksmith8@normanps.org")</f>
        <v>ksmith8@normanps.org</v>
      </c>
      <c r="C176" s="3"/>
      <c r="D176" s="3">
        <f ca="1">IFERROR(__xludf.DUMMYFUNCTION("""COMPUTED_VALUE"""),1)</f>
        <v>1</v>
      </c>
      <c r="E176" s="3"/>
      <c r="F176" s="6"/>
      <c r="G176" s="3"/>
      <c r="H176" s="3"/>
      <c r="I176" s="3" t="str">
        <f ca="1">IFERROR(__xludf.DUMMYFUNCTION("""COMPUTED_VALUE"""),"Include")</f>
        <v>Include</v>
      </c>
      <c r="J176" s="3" t="str">
        <f ca="1">IFERROR(__xludf.DUMMYFUNCTION("""COMPUTED_VALUE"""),"Direct Instruction")</f>
        <v>Direct Instruction</v>
      </c>
      <c r="K176" s="3" t="str">
        <f ca="1">IFERROR(__xludf.DUMMYFUNCTION("""COMPUTED_VALUE"""),"Autism/SPED multi-level high school")</f>
        <v>Autism/SPED multi-level high school</v>
      </c>
      <c r="L176" s="3"/>
      <c r="M176" s="3"/>
      <c r="N176" s="3"/>
      <c r="O176" s="3"/>
      <c r="P176" s="3"/>
      <c r="Q176" s="3"/>
      <c r="R176" s="3"/>
      <c r="S176" s="3"/>
      <c r="T176" s="3" t="str">
        <f ca="1">IFERROR(__xludf.DUMMYFUNCTION("""COMPUTED_VALUE"""),"Norman North")</f>
        <v>Norman North</v>
      </c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" x14ac:dyDescent="0.15">
      <c r="A177" s="2">
        <f ca="1">IFERROR(__xludf.DUMMYFUNCTION("""COMPUTED_VALUE"""),45543.5974305555)</f>
        <v>45543.597430555499</v>
      </c>
      <c r="B177" s="3" t="str">
        <f ca="1">IFERROR(__xludf.DUMMYFUNCTION("""COMPUTED_VALUE"""),"akordelis2@normanps.org")</f>
        <v>akordelis2@normanps.org</v>
      </c>
      <c r="C177" s="3">
        <f ca="1">IFERROR(__xludf.DUMMYFUNCTION("""COMPUTED_VALUE"""),1)</f>
        <v>1</v>
      </c>
      <c r="D177" s="3">
        <f ca="1">IFERROR(__xludf.DUMMYFUNCTION("""COMPUTED_VALUE"""),1)</f>
        <v>1</v>
      </c>
      <c r="E177" s="3">
        <f ca="1">IFERROR(__xludf.DUMMYFUNCTION("""COMPUTED_VALUE"""),1)</f>
        <v>1</v>
      </c>
      <c r="F177" s="6">
        <f ca="1">IFERROR(__xludf.DUMMYFUNCTION("""COMPUTED_VALUE"""),1)</f>
        <v>1</v>
      </c>
      <c r="G177" s="3">
        <f ca="1">IFERROR(__xludf.DUMMYFUNCTION("""COMPUTED_VALUE"""),1)</f>
        <v>1</v>
      </c>
      <c r="H177" s="3">
        <f ca="1">IFERROR(__xludf.DUMMYFUNCTION("""COMPUTED_VALUE"""),1)</f>
        <v>1</v>
      </c>
      <c r="I177" s="3" t="str">
        <f ca="1">IFERROR(__xludf.DUMMYFUNCTION("""COMPUTED_VALUE"""),"Inquire")</f>
        <v>Inquire</v>
      </c>
      <c r="J177" s="3" t="str">
        <f ca="1">IFERROR(__xludf.DUMMYFUNCTION("""COMPUTED_VALUE"""),"ELA")</f>
        <v>ELA</v>
      </c>
      <c r="K177" s="3" t="str">
        <f ca="1">IFERROR(__xludf.DUMMYFUNCTION("""COMPUTED_VALUE"""),"Prek")</f>
        <v>Prek</v>
      </c>
      <c r="L177" s="3" t="str">
        <f ca="1">IFERROR(__xludf.DUMMYFUNCTION("""COMPUTED_VALUE"""),"Air Dry Clay")</f>
        <v>Air Dry Clay</v>
      </c>
      <c r="M177" s="3">
        <f ca="1">IFERROR(__xludf.DUMMYFUNCTION("""COMPUTED_VALUE"""),1)</f>
        <v>1</v>
      </c>
      <c r="N177" s="3">
        <f ca="1">IFERROR(__xludf.DUMMYFUNCTION("""COMPUTED_VALUE"""),1)</f>
        <v>1</v>
      </c>
      <c r="O177" s="3">
        <f ca="1">IFERROR(__xludf.DUMMYFUNCTION("""COMPUTED_VALUE"""),1)</f>
        <v>1</v>
      </c>
      <c r="P177" s="3" t="str">
        <f ca="1">IFERROR(__xludf.DUMMYFUNCTION("""COMPUTED_VALUE"""),"Pioneer")</f>
        <v>Pioneer</v>
      </c>
      <c r="Q177" s="3" t="str">
        <f ca="1">IFERROR(__xludf.DUMMYFUNCTION("""COMPUTED_VALUE"""),"OLA")</f>
        <v>OLA</v>
      </c>
      <c r="R177" s="3" t="str">
        <f ca="1">IFERROR(__xludf.DUMMYFUNCTION("""COMPUTED_VALUE"""),"Literacy Night")</f>
        <v>Literacy Night</v>
      </c>
      <c r="S177" s="3">
        <f ca="1">IFERROR(__xludf.DUMMYFUNCTION("""COMPUTED_VALUE"""),1)</f>
        <v>1</v>
      </c>
      <c r="T177" s="3" t="str">
        <f ca="1">IFERROR(__xludf.DUMMYFUNCTION("""COMPUTED_VALUE"""),"Norman North")</f>
        <v>Norman North</v>
      </c>
      <c r="U177" s="3"/>
      <c r="V177" s="3"/>
      <c r="W177" s="3"/>
      <c r="X177" s="3"/>
      <c r="Y177" s="3"/>
      <c r="Z177" s="3"/>
      <c r="AA177" s="3"/>
      <c r="AB177" s="3"/>
      <c r="AC177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J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6" width="18.83203125" customWidth="1"/>
  </cols>
  <sheetData>
    <row r="1" spans="1:36" ht="57.75" customHeight="1" x14ac:dyDescent="0.15">
      <c r="A1" s="1" t="str">
        <f ca="1">IFERROR(__xludf.DUMMYFUNCTION("QUERY('District Data'!A:AC, ""SELECT * WHERE T = 'Dimensions'"", 1)"),"Timestamp")</f>
        <v>Timestamp</v>
      </c>
      <c r="B1" s="1" t="str">
        <f ca="1">IFERROR(__xludf.DUMMYFUNCTION("""COMPUTED_VALUE"""),"Email Address")</f>
        <v>Email Address</v>
      </c>
      <c r="C1" s="1" t="str">
        <f ca="1">IFERROR(__xludf.DUMMYFUNCTION("""COMPUTED_VALUE"""),"How many books were checked out? (will be provided monthly by ISC)")</f>
        <v>How many books were checked out? (will be provided monthly by ISC)</v>
      </c>
      <c r="D1" s="1" t="str">
        <f ca="1">IFERROR(__xludf.DUMMYFUNCTION("""COMPUTED_VALUE"""),"How many classes did you collaborate with? ")</f>
        <v xml:space="preserve">How many classes did you collaborate with? </v>
      </c>
      <c r="E1" s="1" t="str">
        <f ca="1">IFERROR(__xludf.DUMMYFUNCTION("""COMPUTED_VALUE"""),"Number of classes that visited the library?")</f>
        <v>Number of classes that visited the library?</v>
      </c>
      <c r="F1" s="1" t="str">
        <f ca="1">IFERROR(__xludf.DUMMYFUNCTION("""COMPUTED_VALUE"""),"Grant dollars received")</f>
        <v>Grant dollars received</v>
      </c>
      <c r="G1" s="1" t="str">
        <f ca="1">IFERROR(__xludf.DUMMYFUNCTION("""COMPUTED_VALUE"""),"Number of Makerspace open hours?")</f>
        <v>Number of Makerspace open hours?</v>
      </c>
      <c r="H1" s="1" t="str">
        <f ca="1">IFERROR(__xludf.DUMMYFUNCTION("""COMPUTED_VALUE"""),"Tech assistance appointments (if you spent time on it, count it)")</f>
        <v>Tech assistance appointments (if you spent time on it, count it)</v>
      </c>
      <c r="I1" s="1" t="str">
        <f ca="1">IFERROR(__xludf.DUMMYFUNCTION("""COMPUTED_VALUE"""),"Which Shared Foundation was your target standard?")</f>
        <v>Which Shared Foundation was your target standard?</v>
      </c>
      <c r="J1" s="1" t="str">
        <f ca="1">IFERROR(__xludf.DUMMYFUNCTION("""COMPUTED_VALUE"""),"Which Content Area did you collaborate with for this lesson?")</f>
        <v>Which Content Area did you collaborate with for this lesson?</v>
      </c>
      <c r="K1" s="1" t="str">
        <f ca="1">IFERROR(__xludf.DUMMYFUNCTION("""COMPUTED_VALUE"""),"Which grade level did you collaborate with for this lesson?")</f>
        <v>Which grade level did you collaborate with for this lesson?</v>
      </c>
      <c r="L1" s="1" t="str">
        <f ca="1">IFERROR(__xludf.DUMMYFUNCTION("""COMPUTED_VALUE"""),"Most popular makerspace tool?")</f>
        <v>Most popular makerspace tool?</v>
      </c>
      <c r="M1" s="1" t="str">
        <f ca="1">IFERROR(__xludf.DUMMYFUNCTION("""COMPUTED_VALUE"""),"Number of new books added?")</f>
        <v>Number of new books added?</v>
      </c>
      <c r="N1" s="1" t="str">
        <f ca="1">IFERROR(__xludf.DUMMYFUNCTION("""COMPUTED_VALUE"""),"Sora checkouts (will be provided monthly by ISC)")</f>
        <v>Sora checkouts (will be provided monthly by ISC)</v>
      </c>
      <c r="O1" s="1" t="str">
        <f ca="1">IFERROR(__xludf.DUMMYFUNCTION("""COMPUTED_VALUE"""),"Database retrievals (will be provided monthly by ISC)")</f>
        <v>Database retrievals (will be provided monthly by ISC)</v>
      </c>
      <c r="P1" s="1" t="str">
        <f ca="1">IFERROR(__xludf.DUMMYFUNCTION("""COMPUTED_VALUE"""),"Which community partners did you work with for this project? One partner per form, if you worked with several please enter them on separate forms. (Ex: Pioneer, League of Women Voters, Rotary, Sorority/Fraternity, etc)")</f>
        <v>Which community partners did you work with for this project? One partner per form, if you worked with several please enter them on separate forms. (Ex: Pioneer, League of Women Voters, Rotary, Sorority/Fraternity, etc)</v>
      </c>
      <c r="Q1" s="1" t="str">
        <f ca="1">IFERROR(__xludf.DUMMYFUNCTION("""COMPUTED_VALUE"""),"Leadership and committees I participated in this month (One per form please) Site, district, OKSL, AASL, other organizations")</f>
        <v>Leadership and committees I participated in this month (One per form please) Site, district, OKSL, AASL, other organizations</v>
      </c>
      <c r="R1" s="1" t="str">
        <f ca="1">IFERROR(__xludf.DUMMYFUNCTION("""COMPUTED_VALUE"""),"Programming or Events held? Enter only one per form. Multiple events need the form filled out for each event. (Ex: Literacy night, lunch bunch, STEAM nights, book clubs, author visits, etc)")</f>
        <v>Programming or Events held? Enter only one per form. Multiple events need the form filled out for each event. (Ex: Literacy night, lunch bunch, STEAM nights, book clubs, author visits, etc)</v>
      </c>
      <c r="S1" s="1" t="str">
        <f ca="1">IFERROR(__xludf.DUMMYFUNCTION("""COMPUTED_VALUE"""),"PLCs attended (quantity only) Collaboration")</f>
        <v>PLCs attended (quantity only) Collaboration</v>
      </c>
      <c r="T1" s="1" t="str">
        <f ca="1">IFERROR(__xludf.DUMMYFUNCTION("""COMPUTED_VALUE"""),"Library ")</f>
        <v xml:space="preserve">Library </v>
      </c>
      <c r="U1" s="1" t="str">
        <f ca="1">IFERROR(__xludf.DUMMYFUNCTION("""COMPUTED_VALUE"""),"Makerspace appointments")</f>
        <v>Makerspace appointments</v>
      </c>
      <c r="V1" s="1" t="str">
        <f ca="1">IFERROR(__xludf.DUMMYFUNCTION("""COMPUTED_VALUE"""),"Out of contract time spent at meetings")</f>
        <v>Out of contract time spent at meetings</v>
      </c>
      <c r="W1" s="1" t="str">
        <f ca="1">IFERROR(__xludf.DUMMYFUNCTION("""COMPUTED_VALUE"""),"During school hours non-library duty")</f>
        <v>During school hours non-library duty</v>
      </c>
      <c r="X1" s="1" t="str">
        <f ca="1">IFERROR(__xludf.DUMMYFUNCTION("""COMPUTED_VALUE"""),"")</f>
        <v/>
      </c>
      <c r="Y1" s="1" t="str">
        <f ca="1">IFERROR(__xludf.DUMMYFUNCTION("""COMPUTED_VALUE"""),"")</f>
        <v/>
      </c>
      <c r="Z1" s="1" t="str">
        <f ca="1">IFERROR(__xludf.DUMMYFUNCTION("""COMPUTED_VALUE"""),"")</f>
        <v/>
      </c>
      <c r="AA1" s="1" t="str">
        <f ca="1">IFERROR(__xludf.DUMMYFUNCTION("""COMPUTED_VALUE"""),"")</f>
        <v/>
      </c>
      <c r="AB1" s="1" t="str">
        <f ca="1">IFERROR(__xludf.DUMMYFUNCTION("""COMPUTED_VALUE"""),"")</f>
        <v/>
      </c>
      <c r="AC1" s="1" t="str">
        <f ca="1">IFERROR(__xludf.DUMMYFUNCTION("""COMPUTED_VALUE"""),"")</f>
        <v/>
      </c>
      <c r="AD1" s="1"/>
      <c r="AE1" s="1"/>
      <c r="AF1" s="1"/>
      <c r="AG1" s="1"/>
      <c r="AH1" s="1"/>
      <c r="AI1" s="1"/>
      <c r="AJ1" s="1"/>
    </row>
    <row r="2" spans="1:36" ht="13" x14ac:dyDescent="0.15">
      <c r="A2" s="2">
        <f ca="1">IFERROR(__xludf.DUMMYFUNCTION("""COMPUTED_VALUE"""),45538.4273775347)</f>
        <v>45538.427377534703</v>
      </c>
      <c r="B2" s="3" t="str">
        <f ca="1">IFERROR(__xludf.DUMMYFUNCTION("""COMPUTED_VALUE"""),"sschrank@normanps.org")</f>
        <v>sschrank@normanps.org</v>
      </c>
      <c r="C2" s="3">
        <f ca="1">IFERROR(__xludf.DUMMYFUNCTION("""COMPUTED_VALUE"""),48)</f>
        <v>48</v>
      </c>
      <c r="D2" s="3">
        <f ca="1">IFERROR(__xludf.DUMMYFUNCTION("""COMPUTED_VALUE"""),5)</f>
        <v>5</v>
      </c>
      <c r="E2" s="3"/>
      <c r="F2" s="6"/>
      <c r="G2" s="3"/>
      <c r="H2" s="3"/>
      <c r="I2" s="3"/>
      <c r="J2" s="3" t="str">
        <f ca="1">IFERROR(__xludf.DUMMYFUNCTION("""COMPUTED_VALUE"""),"Direct Instruction")</f>
        <v>Direct Instruction</v>
      </c>
      <c r="K2" s="3" t="str">
        <f ca="1">IFERROR(__xludf.DUMMYFUNCTION("""COMPUTED_VALUE"""),"Elementary multi-grade class")</f>
        <v>Elementary multi-grade class</v>
      </c>
      <c r="L2" s="3"/>
      <c r="M2" s="3">
        <f ca="1">IFERROR(__xludf.DUMMYFUNCTION("""COMPUTED_VALUE"""),6)</f>
        <v>6</v>
      </c>
      <c r="N2" s="3">
        <f ca="1">IFERROR(__xludf.DUMMYFUNCTION("""COMPUTED_VALUE"""),13)</f>
        <v>13</v>
      </c>
      <c r="O2" s="3">
        <f ca="1">IFERROR(__xludf.DUMMYFUNCTION("""COMPUTED_VALUE"""),0)</f>
        <v>0</v>
      </c>
      <c r="P2" s="3"/>
      <c r="Q2" s="3"/>
      <c r="R2" s="3"/>
      <c r="S2" s="3">
        <f ca="1">IFERROR(__xludf.DUMMYFUNCTION("""COMPUTED_VALUE"""),2)</f>
        <v>2</v>
      </c>
      <c r="T2" s="3" t="str">
        <f ca="1">IFERROR(__xludf.DUMMYFUNCTION("""COMPUTED_VALUE"""),"Dimensions")</f>
        <v>Dimensions</v>
      </c>
      <c r="U2" s="3"/>
      <c r="V2" s="3"/>
      <c r="W2" s="3"/>
      <c r="X2" s="3"/>
      <c r="Y2" s="3"/>
      <c r="Z2" s="3"/>
      <c r="AA2" s="3"/>
      <c r="AB2" s="3"/>
      <c r="AC2" s="3"/>
    </row>
    <row r="3" spans="1:36" ht="13" x14ac:dyDescent="0.15">
      <c r="A3" s="2">
        <f ca="1">IFERROR(__xludf.DUMMYFUNCTION("""COMPUTED_VALUE"""),45573.4235329745)</f>
        <v>45573.423532974499</v>
      </c>
      <c r="B3" s="3" t="str">
        <f ca="1">IFERROR(__xludf.DUMMYFUNCTION("""COMPUTED_VALUE"""),"sschrank@normanps.org")</f>
        <v>sschrank@normanps.org</v>
      </c>
      <c r="C3" s="3">
        <f ca="1">IFERROR(__xludf.DUMMYFUNCTION("""COMPUTED_VALUE"""),51)</f>
        <v>51</v>
      </c>
      <c r="D3" s="3">
        <f ca="1">IFERROR(__xludf.DUMMYFUNCTION("""COMPUTED_VALUE"""),3)</f>
        <v>3</v>
      </c>
      <c r="E3" s="3"/>
      <c r="F3" s="6"/>
      <c r="G3" s="3"/>
      <c r="H3" s="3"/>
      <c r="I3" s="3"/>
      <c r="J3" s="3" t="str">
        <f ca="1">IFERROR(__xludf.DUMMYFUNCTION("""COMPUTED_VALUE"""),"ELA")</f>
        <v>ELA</v>
      </c>
      <c r="K3" s="3" t="str">
        <f ca="1">IFERROR(__xludf.DUMMYFUNCTION("""COMPUTED_VALUE"""),"Elementary multi-grade class")</f>
        <v>Elementary multi-grade class</v>
      </c>
      <c r="L3" s="3"/>
      <c r="M3" s="3">
        <f ca="1">IFERROR(__xludf.DUMMYFUNCTION("""COMPUTED_VALUE"""),5)</f>
        <v>5</v>
      </c>
      <c r="N3" s="3">
        <f ca="1">IFERROR(__xludf.DUMMYFUNCTION("""COMPUTED_VALUE"""),6)</f>
        <v>6</v>
      </c>
      <c r="O3" s="3"/>
      <c r="P3" s="3"/>
      <c r="Q3" s="3"/>
      <c r="R3" s="3"/>
      <c r="S3" s="3">
        <f ca="1">IFERROR(__xludf.DUMMYFUNCTION("""COMPUTED_VALUE"""),2)</f>
        <v>2</v>
      </c>
      <c r="T3" s="3" t="str">
        <f ca="1">IFERROR(__xludf.DUMMYFUNCTION("""COMPUTED_VALUE"""),"Dimensions")</f>
        <v>Dimensions</v>
      </c>
      <c r="U3" s="3"/>
      <c r="V3" s="3"/>
      <c r="W3" s="3"/>
      <c r="X3" s="3"/>
      <c r="Y3" s="3"/>
      <c r="Z3" s="3"/>
      <c r="AA3" s="3"/>
      <c r="AB3" s="3"/>
      <c r="AC3" s="3"/>
    </row>
    <row r="4" spans="1:36" ht="13" x14ac:dyDescent="0.15">
      <c r="A4" s="2">
        <f ca="1">IFERROR(__xludf.DUMMYFUNCTION("""COMPUTED_VALUE"""),45644.5488971875)</f>
        <v>45644.548897187502</v>
      </c>
      <c r="B4" s="3" t="str">
        <f ca="1">IFERROR(__xludf.DUMMYFUNCTION("""COMPUTED_VALUE"""),"sschrank@normanps.org")</f>
        <v>sschrank@normanps.org</v>
      </c>
      <c r="C4" s="3">
        <f ca="1">IFERROR(__xludf.DUMMYFUNCTION("""COMPUTED_VALUE"""),94)</f>
        <v>94</v>
      </c>
      <c r="D4" s="3"/>
      <c r="E4" s="3"/>
      <c r="F4" s="6"/>
      <c r="G4" s="3"/>
      <c r="H4" s="3"/>
      <c r="I4" s="3"/>
      <c r="J4" s="3"/>
      <c r="K4" s="3"/>
      <c r="L4" s="3"/>
      <c r="M4" s="3"/>
      <c r="N4" s="3">
        <f ca="1">IFERROR(__xludf.DUMMYFUNCTION("""COMPUTED_VALUE"""),9)</f>
        <v>9</v>
      </c>
      <c r="O4" s="3"/>
      <c r="P4" s="3"/>
      <c r="Q4" s="3"/>
      <c r="R4" s="3"/>
      <c r="S4" s="3"/>
      <c r="T4" s="3" t="str">
        <f ca="1">IFERROR(__xludf.DUMMYFUNCTION("""COMPUTED_VALUE"""),"Dimensions")</f>
        <v>Dimensions</v>
      </c>
      <c r="U4" s="3"/>
      <c r="V4" s="3"/>
      <c r="W4" s="3"/>
      <c r="X4" s="3"/>
      <c r="Y4" s="3"/>
      <c r="Z4" s="3"/>
      <c r="AA4" s="3"/>
      <c r="AB4" s="3"/>
      <c r="AC4" s="3"/>
    </row>
    <row r="5" spans="1:36" ht="13" x14ac:dyDescent="0.15">
      <c r="A5" s="2">
        <f ca="1">IFERROR(__xludf.DUMMYFUNCTION("""COMPUTED_VALUE"""),45672.3502617939)</f>
        <v>45672.350261793901</v>
      </c>
      <c r="B5" s="3" t="str">
        <f ca="1">IFERROR(__xludf.DUMMYFUNCTION("""COMPUTED_VALUE"""),"sschrank@normanps.org")</f>
        <v>sschrank@normanps.org</v>
      </c>
      <c r="C5" s="3">
        <f ca="1">IFERROR(__xludf.DUMMYFUNCTION("""COMPUTED_VALUE"""),23)</f>
        <v>23</v>
      </c>
      <c r="D5" s="3"/>
      <c r="E5" s="3"/>
      <c r="F5" s="6"/>
      <c r="G5" s="3"/>
      <c r="H5" s="3"/>
      <c r="I5" s="3"/>
      <c r="J5" s="3"/>
      <c r="K5" s="3"/>
      <c r="L5" s="3"/>
      <c r="M5" s="3"/>
      <c r="N5" s="3">
        <f ca="1">IFERROR(__xludf.DUMMYFUNCTION("""COMPUTED_VALUE"""),2)</f>
        <v>2</v>
      </c>
      <c r="O5" s="3"/>
      <c r="P5" s="3"/>
      <c r="Q5" s="3"/>
      <c r="R5" s="3"/>
      <c r="S5" s="3"/>
      <c r="T5" s="3" t="str">
        <f ca="1">IFERROR(__xludf.DUMMYFUNCTION("""COMPUTED_VALUE"""),"Dimensions")</f>
        <v>Dimensions</v>
      </c>
      <c r="U5" s="3"/>
      <c r="V5" s="3"/>
      <c r="W5" s="3"/>
      <c r="X5" s="3"/>
      <c r="Y5" s="3"/>
      <c r="Z5" s="3"/>
      <c r="AA5" s="3"/>
      <c r="AB5" s="3"/>
      <c r="AC5" s="3"/>
    </row>
    <row r="6" spans="1:36" ht="13" x14ac:dyDescent="0.15">
      <c r="A6" s="2">
        <f ca="1">IFERROR(__xludf.DUMMYFUNCTION("""COMPUTED_VALUE"""),45693.4873798842)</f>
        <v>45693.487379884202</v>
      </c>
      <c r="B6" s="3" t="str">
        <f ca="1">IFERROR(__xludf.DUMMYFUNCTION("""COMPUTED_VALUE"""),"sschrank@normanps.org")</f>
        <v>sschrank@normanps.org</v>
      </c>
      <c r="C6" s="3">
        <f ca="1">IFERROR(__xludf.DUMMYFUNCTION("""COMPUTED_VALUE"""),49)</f>
        <v>49</v>
      </c>
      <c r="D6" s="3"/>
      <c r="E6" s="3"/>
      <c r="F6" s="6"/>
      <c r="G6" s="3"/>
      <c r="H6" s="3"/>
      <c r="I6" s="3"/>
      <c r="J6" s="3"/>
      <c r="K6" s="3"/>
      <c r="L6" s="3"/>
      <c r="M6" s="3"/>
      <c r="N6" s="3">
        <f ca="1">IFERROR(__xludf.DUMMYFUNCTION("""COMPUTED_VALUE"""),5)</f>
        <v>5</v>
      </c>
      <c r="O6" s="3"/>
      <c r="P6" s="3"/>
      <c r="Q6" s="3"/>
      <c r="R6" s="3"/>
      <c r="S6" s="3"/>
      <c r="T6" s="3" t="str">
        <f ca="1">IFERROR(__xludf.DUMMYFUNCTION("""COMPUTED_VALUE"""),"Dimensions")</f>
        <v>Dimensions</v>
      </c>
      <c r="U6" s="3"/>
      <c r="V6" s="3"/>
      <c r="W6" s="3"/>
      <c r="X6" s="3"/>
      <c r="Y6" s="3"/>
      <c r="Z6" s="3"/>
      <c r="AA6" s="3"/>
      <c r="AB6" s="3"/>
      <c r="AC6" s="3"/>
    </row>
    <row r="7" spans="1:36" ht="13" x14ac:dyDescent="0.15">
      <c r="A7" s="2">
        <f ca="1">IFERROR(__xludf.DUMMYFUNCTION("""COMPUTED_VALUE"""),45544.5974305555)</f>
        <v>45544.597430555499</v>
      </c>
      <c r="B7" s="3" t="str">
        <f ca="1">IFERROR(__xludf.DUMMYFUNCTION("""COMPUTED_VALUE"""),"akordelis2@normanps.org")</f>
        <v>akordelis2@normanps.org</v>
      </c>
      <c r="C7" s="3">
        <f ca="1">IFERROR(__xludf.DUMMYFUNCTION("""COMPUTED_VALUE"""),1)</f>
        <v>1</v>
      </c>
      <c r="D7" s="3">
        <f ca="1">IFERROR(__xludf.DUMMYFUNCTION("""COMPUTED_VALUE"""),1)</f>
        <v>1</v>
      </c>
      <c r="E7" s="3">
        <f ca="1">IFERROR(__xludf.DUMMYFUNCTION("""COMPUTED_VALUE"""),1)</f>
        <v>1</v>
      </c>
      <c r="F7" s="6">
        <f ca="1">IFERROR(__xludf.DUMMYFUNCTION("""COMPUTED_VALUE"""),1)</f>
        <v>1</v>
      </c>
      <c r="G7" s="3">
        <f ca="1">IFERROR(__xludf.DUMMYFUNCTION("""COMPUTED_VALUE"""),1)</f>
        <v>1</v>
      </c>
      <c r="H7" s="3">
        <f ca="1">IFERROR(__xludf.DUMMYFUNCTION("""COMPUTED_VALUE"""),1)</f>
        <v>1</v>
      </c>
      <c r="I7" s="3" t="str">
        <f ca="1">IFERROR(__xludf.DUMMYFUNCTION("""COMPUTED_VALUE"""),"Inquire")</f>
        <v>Inquire</v>
      </c>
      <c r="J7" s="3" t="str">
        <f ca="1">IFERROR(__xludf.DUMMYFUNCTION("""COMPUTED_VALUE"""),"ELA")</f>
        <v>ELA</v>
      </c>
      <c r="K7" s="3" t="str">
        <f ca="1">IFERROR(__xludf.DUMMYFUNCTION("""COMPUTED_VALUE"""),"Prek")</f>
        <v>Prek</v>
      </c>
      <c r="L7" s="3" t="str">
        <f ca="1">IFERROR(__xludf.DUMMYFUNCTION("""COMPUTED_VALUE"""),"Air Dry Clay")</f>
        <v>Air Dry Clay</v>
      </c>
      <c r="M7" s="3">
        <f ca="1">IFERROR(__xludf.DUMMYFUNCTION("""COMPUTED_VALUE"""),1)</f>
        <v>1</v>
      </c>
      <c r="N7" s="3">
        <f ca="1">IFERROR(__xludf.DUMMYFUNCTION("""COMPUTED_VALUE"""),1)</f>
        <v>1</v>
      </c>
      <c r="O7" s="3">
        <f ca="1">IFERROR(__xludf.DUMMYFUNCTION("""COMPUTED_VALUE"""),1)</f>
        <v>1</v>
      </c>
      <c r="P7" s="3" t="str">
        <f ca="1">IFERROR(__xludf.DUMMYFUNCTION("""COMPUTED_VALUE"""),"Pioneer")</f>
        <v>Pioneer</v>
      </c>
      <c r="Q7" s="3" t="str">
        <f ca="1">IFERROR(__xludf.DUMMYFUNCTION("""COMPUTED_VALUE"""),"OLA")</f>
        <v>OLA</v>
      </c>
      <c r="R7" s="3" t="str">
        <f ca="1">IFERROR(__xludf.DUMMYFUNCTION("""COMPUTED_VALUE"""),"Literacy Night")</f>
        <v>Literacy Night</v>
      </c>
      <c r="S7" s="3">
        <f ca="1">IFERROR(__xludf.DUMMYFUNCTION("""COMPUTED_VALUE"""),1)</f>
        <v>1</v>
      </c>
      <c r="T7" s="3" t="str">
        <f ca="1">IFERROR(__xludf.DUMMYFUNCTION("""COMPUTED_VALUE"""),"Dimensions")</f>
        <v>Dimensions</v>
      </c>
      <c r="U7" s="3"/>
      <c r="V7" s="3"/>
      <c r="W7" s="3"/>
      <c r="X7" s="3"/>
      <c r="Y7" s="3"/>
      <c r="Z7" s="3"/>
      <c r="AA7" s="3"/>
      <c r="AB7" s="3"/>
      <c r="A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 School Library Impact Dashboar</vt:lpstr>
      <vt:lpstr>Adams</vt:lpstr>
      <vt:lpstr>Cleveland</vt:lpstr>
      <vt:lpstr>Eisenhower</vt:lpstr>
      <vt:lpstr>Jackson</vt:lpstr>
      <vt:lpstr>Jefferson</vt:lpstr>
      <vt:lpstr>Kennedy</vt:lpstr>
      <vt:lpstr>Lakeview</vt:lpstr>
      <vt:lpstr>Lincoln</vt:lpstr>
      <vt:lpstr>Madison</vt:lpstr>
      <vt:lpstr>McKinley</vt:lpstr>
      <vt:lpstr>Monroe</vt:lpstr>
      <vt:lpstr>Reagan</vt:lpstr>
      <vt:lpstr>Roosevelt</vt:lpstr>
      <vt:lpstr>Truman</vt:lpstr>
      <vt:lpstr>Truman Primary</vt:lpstr>
      <vt:lpstr>Washington</vt:lpstr>
      <vt:lpstr>Wilson</vt:lpstr>
      <vt:lpstr>Alcott</vt:lpstr>
      <vt:lpstr>Irving</vt:lpstr>
      <vt:lpstr>Longfellow</vt:lpstr>
      <vt:lpstr>Whittier</vt:lpstr>
      <vt:lpstr>High</vt:lpstr>
      <vt:lpstr>North</vt:lpstr>
      <vt:lpstr>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 Ezeoke, Kim C.</cp:lastModifiedBy>
  <dcterms:created xsi:type="dcterms:W3CDTF">2026-06-26T19:46:44Z</dcterms:created>
  <dcterms:modified xsi:type="dcterms:W3CDTF">2026-06-26T19:47:03Z</dcterms:modified>
</cp:coreProperties>
</file>